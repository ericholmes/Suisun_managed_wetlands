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holmes\Documents\R\Projects\Suisun_managed_wetlands\data\"/>
    </mc:Choice>
  </mc:AlternateContent>
  <xr:revisionPtr revIDLastSave="0" documentId="13_ncr:1_{D999B0B4-6697-4828-9A14-BA84FF9F89AE}" xr6:coauthVersionLast="47" xr6:coauthVersionMax="47" xr10:uidLastSave="{00000000-0000-0000-0000-000000000000}"/>
  <bookViews>
    <workbookView xWindow="-28920" yWindow="-120" windowWidth="29040" windowHeight="15720" xr2:uid="{DD7C5E30-1ECE-4A2D-B0C6-84ED197A9BCC}"/>
  </bookViews>
  <sheets>
    <sheet name="WQ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1" i="1" l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 l="1"/>
  <c r="W45" i="1"/>
  <c r="W44" i="1"/>
  <c r="W43" i="1"/>
  <c r="W42" i="1"/>
  <c r="W41" i="1"/>
  <c r="W40" i="1"/>
  <c r="W39" i="1"/>
  <c r="W38" i="1"/>
  <c r="W37" i="1"/>
  <c r="W31" i="1" l="1"/>
  <c r="W30" i="1"/>
  <c r="W29" i="1"/>
  <c r="W28" i="1"/>
  <c r="W27" i="1"/>
  <c r="W36" i="1"/>
  <c r="W35" i="1"/>
  <c r="W34" i="1"/>
  <c r="W33" i="1"/>
  <c r="W32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3" i="1"/>
  <c r="W4" i="1"/>
  <c r="W5" i="1"/>
  <c r="W6" i="1"/>
  <c r="W2" i="1"/>
</calcChain>
</file>

<file path=xl/sharedStrings.xml><?xml version="1.0" encoding="utf-8"?>
<sst xmlns="http://schemas.openxmlformats.org/spreadsheetml/2006/main" count="619" uniqueCount="135">
  <si>
    <t>TEC Notes after entry</t>
  </si>
  <si>
    <t>Date</t>
  </si>
  <si>
    <t>Boat</t>
  </si>
  <si>
    <t>Crew</t>
  </si>
  <si>
    <t>Weather</t>
  </si>
  <si>
    <t>Pond</t>
  </si>
  <si>
    <t xml:space="preserve">Location </t>
  </si>
  <si>
    <t>Time (24hr)</t>
  </si>
  <si>
    <t>Temp (C°)</t>
  </si>
  <si>
    <t>DO (%)</t>
  </si>
  <si>
    <t>DO (mg/L)</t>
  </si>
  <si>
    <t>SPC (µS/cm)</t>
  </si>
  <si>
    <t>TDS (mg/L)</t>
  </si>
  <si>
    <t>SAL (PSU)</t>
  </si>
  <si>
    <t>pH</t>
  </si>
  <si>
    <t>Turb (FNU)</t>
  </si>
  <si>
    <t>PC (µg/L)</t>
  </si>
  <si>
    <t>Chl (µg/L)</t>
  </si>
  <si>
    <t>fDOM (QSU)</t>
  </si>
  <si>
    <t>Zoop Score (1-5)</t>
  </si>
  <si>
    <t>Zoop Flow Start</t>
  </si>
  <si>
    <t>Zoop Flow Stop</t>
  </si>
  <si>
    <t>Zoop Diff.</t>
  </si>
  <si>
    <t>Zoop Unique ID</t>
  </si>
  <si>
    <t>Notes</t>
  </si>
  <si>
    <t>Date Entered</t>
  </si>
  <si>
    <t>Entered By</t>
  </si>
  <si>
    <t>QAQC Date</t>
  </si>
  <si>
    <t>QAQC'd By</t>
  </si>
  <si>
    <t>highligthed cells are in ppt, didn’t realize unites were taken in parameter until after</t>
  </si>
  <si>
    <t>BB</t>
  </si>
  <si>
    <t>MC, TC, LS</t>
  </si>
  <si>
    <t>72°, Sunny, some clouds</t>
  </si>
  <si>
    <t>North Lower Joice</t>
  </si>
  <si>
    <t>Inlet</t>
  </si>
  <si>
    <t>NA</t>
  </si>
  <si>
    <t>26-0121</t>
  </si>
  <si>
    <t>TEC</t>
  </si>
  <si>
    <t>Outlet</t>
  </si>
  <si>
    <t>26-0122</t>
  </si>
  <si>
    <t>Very shallow, difficult to get good YSI parameters, visible layer of stagnat film</t>
  </si>
  <si>
    <t>2m</t>
  </si>
  <si>
    <t>26-0123</t>
  </si>
  <si>
    <t>20m</t>
  </si>
  <si>
    <t>26-0124</t>
  </si>
  <si>
    <t>200m</t>
  </si>
  <si>
    <t>26-0125</t>
  </si>
  <si>
    <t>MC, TC, TM</t>
  </si>
  <si>
    <t>68°, Sunny,  16mph winds</t>
  </si>
  <si>
    <t>26-0126</t>
  </si>
  <si>
    <t>26-0127</t>
  </si>
  <si>
    <t>moved a further up the outlet to collect, will collect here going forward</t>
  </si>
  <si>
    <t>26-0128</t>
  </si>
  <si>
    <t>26-0129</t>
  </si>
  <si>
    <t>26-0130</t>
  </si>
  <si>
    <t>76°, sunny, 28mph winds</t>
  </si>
  <si>
    <t>26-0131</t>
  </si>
  <si>
    <t>added a 4th throw as 3rd throw did not go far</t>
  </si>
  <si>
    <t>26-0132</t>
  </si>
  <si>
    <t>26-0133</t>
  </si>
  <si>
    <t>26-0134</t>
  </si>
  <si>
    <t>26-0135</t>
  </si>
  <si>
    <t>68°, sunny, 12mph winds</t>
  </si>
  <si>
    <t>26-0136</t>
  </si>
  <si>
    <t>26-0137</t>
  </si>
  <si>
    <t>26-0138</t>
  </si>
  <si>
    <t>26-0139</t>
  </si>
  <si>
    <t>26-0140</t>
  </si>
  <si>
    <t>68°, sunny, 13mph winds</t>
  </si>
  <si>
    <t>26-0141</t>
  </si>
  <si>
    <t>26-0142</t>
  </si>
  <si>
    <t>26-0143</t>
  </si>
  <si>
    <t>26-0144</t>
  </si>
  <si>
    <t>26-0145</t>
  </si>
  <si>
    <t>26-0151</t>
  </si>
  <si>
    <t>26-0152</t>
  </si>
  <si>
    <t>26-0153</t>
  </si>
  <si>
    <t>26-0154</t>
  </si>
  <si>
    <t>26-0155</t>
  </si>
  <si>
    <t>Denverton Big Unit</t>
  </si>
  <si>
    <t>26-0146</t>
  </si>
  <si>
    <t>26-0147</t>
  </si>
  <si>
    <t>26-0148</t>
  </si>
  <si>
    <t>26-0149</t>
  </si>
  <si>
    <t>26-0150</t>
  </si>
  <si>
    <t>MC, TC, LM</t>
  </si>
  <si>
    <t>73°, sunny, 19mph winds</t>
  </si>
  <si>
    <t>Denverton Small Unit</t>
  </si>
  <si>
    <t>26-0156</t>
  </si>
  <si>
    <t>LS</t>
  </si>
  <si>
    <t>26-0157</t>
  </si>
  <si>
    <t>26-0158</t>
  </si>
  <si>
    <t>26-0159</t>
  </si>
  <si>
    <t>26-0160</t>
  </si>
  <si>
    <t>26-0161</t>
  </si>
  <si>
    <t>26-0162</t>
  </si>
  <si>
    <t>26-0163</t>
  </si>
  <si>
    <t>26-0164</t>
  </si>
  <si>
    <t>26-0165</t>
  </si>
  <si>
    <t>MC, TM, JT</t>
  </si>
  <si>
    <t>75°, sunny clear, 15mp winds</t>
  </si>
  <si>
    <t>26-0166</t>
  </si>
  <si>
    <t>26-0167</t>
  </si>
  <si>
    <t>26-0168</t>
  </si>
  <si>
    <t>26-0169</t>
  </si>
  <si>
    <t>26-0170</t>
  </si>
  <si>
    <t>changed DO value from 8396 tp 8.96</t>
  </si>
  <si>
    <t>26-0171</t>
  </si>
  <si>
    <t>changed SPC value from 7109 to 6109 and zoop end flow value from 683562 to 683559</t>
  </si>
  <si>
    <t>26-0172</t>
  </si>
  <si>
    <t>changed zoop end flow from 683757 to 683647</t>
  </si>
  <si>
    <t>26-0173</t>
  </si>
  <si>
    <t>26-0174</t>
  </si>
  <si>
    <t>changed zoop start flow from 684107 to 684187</t>
  </si>
  <si>
    <t>26-0175</t>
  </si>
  <si>
    <t>68°, sunny clear, 16mph</t>
  </si>
  <si>
    <t>26-0176</t>
  </si>
  <si>
    <t>26-0177</t>
  </si>
  <si>
    <t>26-0178</t>
  </si>
  <si>
    <t>26-0179</t>
  </si>
  <si>
    <t>26-0180</t>
  </si>
  <si>
    <t>26-0181</t>
  </si>
  <si>
    <t>26-0182</t>
  </si>
  <si>
    <t>26-0183</t>
  </si>
  <si>
    <t>26-0184</t>
  </si>
  <si>
    <t>26-0185</t>
  </si>
  <si>
    <t>72°, overcast, sprinkling, 7mph</t>
  </si>
  <si>
    <t>26-0186</t>
  </si>
  <si>
    <t>26-0187</t>
  </si>
  <si>
    <t>zoop net got caught on it self on first two throws, included with 3 throws. 51 flow revolutions of first two tangeld throws</t>
  </si>
  <si>
    <t>changed TDS value from 30121.268 to 3012.268</t>
  </si>
  <si>
    <t>26-0188</t>
  </si>
  <si>
    <t>Several adult fish, looked like stripers, feeding right at draining outlet</t>
  </si>
  <si>
    <t>26-0189</t>
  </si>
  <si>
    <t>26-0190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</si>
</sst>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1" xfId="0" applyFont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02CBB-1F6F-4E4F-81A1-F259A6D9187C}">
  <dimension ref="A1:AC71"/>
  <sheetViews>
    <sheetView tabSelected="1" zoomScale="90" zoomScaleNormal="90" workbookViewId="0">
      <pane ySplit="1" topLeftCell="A35" activePane="bottomLeft" state="frozen"/>
      <selection pane="bottomLeft" activeCell="J60" sqref="J60"/>
    </sheetView>
  </sheetViews>
  <sheetFormatPr defaultRowHeight="14.5" x14ac:dyDescent="0.35"/>
  <cols>
    <col min="1" max="1" width="10.54296875" customWidth="1"/>
    <col min="2" max="2" width="9.54296875" bestFit="1" customWidth="1"/>
    <col min="3" max="3" width="4.7265625" bestFit="1" customWidth="1"/>
    <col min="4" max="4" width="10.81640625" bestFit="1" customWidth="1"/>
    <col min="5" max="5" width="22.453125" bestFit="1" customWidth="1"/>
    <col min="6" max="6" width="18.54296875" bestFit="1" customWidth="1"/>
    <col min="8" max="8" width="6" bestFit="1" customWidth="1"/>
    <col min="9" max="9" width="6.81640625" bestFit="1" customWidth="1"/>
    <col min="10" max="10" width="5.81640625" bestFit="1" customWidth="1"/>
    <col min="11" max="11" width="6.54296875" bestFit="1" customWidth="1"/>
    <col min="12" max="12" width="7.7265625" bestFit="1" customWidth="1"/>
    <col min="13" max="13" width="9.81640625" bestFit="1" customWidth="1"/>
    <col min="14" max="14" width="5.7265625" bestFit="1" customWidth="1"/>
    <col min="15" max="15" width="4.81640625" bestFit="1" customWidth="1"/>
    <col min="16" max="16" width="5.81640625" bestFit="1" customWidth="1"/>
    <col min="17" max="18" width="6" bestFit="1" customWidth="1"/>
    <col min="19" max="19" width="6.81640625" bestFit="1" customWidth="1"/>
    <col min="20" max="20" width="5.7265625" customWidth="1"/>
    <col min="21" max="21" width="7.54296875" customWidth="1"/>
    <col min="22" max="22" width="7.1796875" customWidth="1"/>
    <col min="23" max="23" width="6.453125" bestFit="1" customWidth="1"/>
    <col min="24" max="24" width="9" customWidth="1"/>
    <col min="25" max="25" width="62.7265625" bestFit="1" customWidth="1"/>
    <col min="26" max="26" width="9.54296875" bestFit="1" customWidth="1"/>
    <col min="28" max="28" width="9.54296875" bestFit="1" customWidth="1"/>
  </cols>
  <sheetData>
    <row r="1" spans="1:29" ht="42.65" customHeight="1" x14ac:dyDescent="0.35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ht="16" customHeight="1" x14ac:dyDescent="0.35">
      <c r="A2" t="s">
        <v>29</v>
      </c>
      <c r="B2" s="1">
        <v>46150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s="2">
        <v>0.41666666666666669</v>
      </c>
      <c r="I2">
        <v>19.065000000000001</v>
      </c>
      <c r="J2">
        <v>94.7</v>
      </c>
      <c r="K2">
        <v>8.74</v>
      </c>
      <c r="L2">
        <v>1105</v>
      </c>
      <c r="M2">
        <v>718.66</v>
      </c>
      <c r="N2" s="4">
        <v>0.55000000000000004</v>
      </c>
      <c r="O2">
        <v>7.97</v>
      </c>
      <c r="P2">
        <v>69.709999999999994</v>
      </c>
      <c r="Q2">
        <v>-1.65</v>
      </c>
      <c r="R2">
        <v>8.16</v>
      </c>
      <c r="S2" t="s">
        <v>35</v>
      </c>
      <c r="T2">
        <v>2</v>
      </c>
      <c r="U2">
        <v>659974</v>
      </c>
      <c r="V2">
        <v>660286</v>
      </c>
      <c r="W2">
        <f>V2-U2</f>
        <v>312</v>
      </c>
      <c r="X2" t="s">
        <v>36</v>
      </c>
      <c r="Z2" s="1">
        <v>46154</v>
      </c>
      <c r="AA2" t="s">
        <v>37</v>
      </c>
      <c r="AB2" s="1">
        <v>46163</v>
      </c>
      <c r="AC2" t="s">
        <v>37</v>
      </c>
    </row>
    <row r="3" spans="1:29" ht="16" customHeight="1" x14ac:dyDescent="0.35">
      <c r="A3" t="s">
        <v>29</v>
      </c>
      <c r="B3" s="1">
        <v>46150</v>
      </c>
      <c r="C3" t="s">
        <v>30</v>
      </c>
      <c r="D3" t="s">
        <v>31</v>
      </c>
      <c r="E3" t="s">
        <v>32</v>
      </c>
      <c r="F3" t="s">
        <v>33</v>
      </c>
      <c r="G3" t="s">
        <v>38</v>
      </c>
      <c r="H3" s="2">
        <v>0.44444444444444442</v>
      </c>
      <c r="I3">
        <v>17.88</v>
      </c>
      <c r="J3">
        <v>84.5</v>
      </c>
      <c r="K3">
        <v>7.88</v>
      </c>
      <c r="L3">
        <v>5506</v>
      </c>
      <c r="M3">
        <v>3482.87</v>
      </c>
      <c r="N3" s="4">
        <v>2.95</v>
      </c>
      <c r="O3">
        <v>5.81</v>
      </c>
      <c r="P3">
        <v>36.270000000000003</v>
      </c>
      <c r="Q3">
        <v>0.34</v>
      </c>
      <c r="R3">
        <v>67.34</v>
      </c>
      <c r="S3" t="s">
        <v>35</v>
      </c>
      <c r="T3">
        <v>2</v>
      </c>
      <c r="U3">
        <v>660281</v>
      </c>
      <c r="V3">
        <v>660630</v>
      </c>
      <c r="W3">
        <f t="shared" ref="W3:W26" si="0">V3-U3</f>
        <v>349</v>
      </c>
      <c r="X3" t="s">
        <v>39</v>
      </c>
      <c r="Y3" t="s">
        <v>40</v>
      </c>
      <c r="Z3" s="1">
        <v>46154</v>
      </c>
      <c r="AA3" t="s">
        <v>37</v>
      </c>
      <c r="AB3" s="1">
        <v>46163</v>
      </c>
      <c r="AC3" t="s">
        <v>37</v>
      </c>
    </row>
    <row r="4" spans="1:29" ht="16" customHeight="1" x14ac:dyDescent="0.35">
      <c r="A4" t="s">
        <v>29</v>
      </c>
      <c r="B4" s="1">
        <v>46150</v>
      </c>
      <c r="C4" t="s">
        <v>30</v>
      </c>
      <c r="D4" t="s">
        <v>31</v>
      </c>
      <c r="E4" t="s">
        <v>32</v>
      </c>
      <c r="F4" t="s">
        <v>33</v>
      </c>
      <c r="G4" t="s">
        <v>41</v>
      </c>
      <c r="H4" s="2">
        <v>0.45833333333333331</v>
      </c>
      <c r="I4">
        <v>19.03</v>
      </c>
      <c r="J4">
        <v>97.3</v>
      </c>
      <c r="K4">
        <v>8.99</v>
      </c>
      <c r="L4">
        <v>1143</v>
      </c>
      <c r="M4">
        <v>736.822</v>
      </c>
      <c r="N4" s="4">
        <v>0.56999999999999995</v>
      </c>
      <c r="O4">
        <v>7.95</v>
      </c>
      <c r="P4">
        <v>58.11</v>
      </c>
      <c r="Q4">
        <v>-1.76</v>
      </c>
      <c r="R4">
        <v>5.46</v>
      </c>
      <c r="S4" t="s">
        <v>35</v>
      </c>
      <c r="T4">
        <v>2</v>
      </c>
      <c r="U4">
        <v>660783</v>
      </c>
      <c r="V4">
        <v>661214</v>
      </c>
      <c r="W4">
        <f t="shared" si="0"/>
        <v>431</v>
      </c>
      <c r="X4" t="s">
        <v>42</v>
      </c>
      <c r="Z4" s="1">
        <v>46154</v>
      </c>
      <c r="AA4" t="s">
        <v>37</v>
      </c>
      <c r="AB4" s="1">
        <v>46163</v>
      </c>
      <c r="AC4" t="s">
        <v>37</v>
      </c>
    </row>
    <row r="5" spans="1:29" ht="16" customHeight="1" x14ac:dyDescent="0.35">
      <c r="A5" t="s">
        <v>29</v>
      </c>
      <c r="B5" s="1">
        <v>46150</v>
      </c>
      <c r="C5" t="s">
        <v>30</v>
      </c>
      <c r="D5" t="s">
        <v>31</v>
      </c>
      <c r="E5" t="s">
        <v>32</v>
      </c>
      <c r="F5" t="s">
        <v>33</v>
      </c>
      <c r="G5" t="s">
        <v>43</v>
      </c>
      <c r="H5" s="2">
        <v>0.46527777777777779</v>
      </c>
      <c r="I5">
        <v>18.84</v>
      </c>
      <c r="J5">
        <v>96.1</v>
      </c>
      <c r="K5">
        <v>8.91</v>
      </c>
      <c r="L5">
        <v>1261</v>
      </c>
      <c r="M5">
        <v>821.88</v>
      </c>
      <c r="N5" s="4">
        <v>0.63</v>
      </c>
      <c r="O5">
        <v>7.87</v>
      </c>
      <c r="P5">
        <v>46.77</v>
      </c>
      <c r="Q5">
        <v>-1.85</v>
      </c>
      <c r="R5">
        <v>4.4400000000000004</v>
      </c>
      <c r="S5" t="s">
        <v>35</v>
      </c>
      <c r="T5">
        <v>2</v>
      </c>
      <c r="U5">
        <v>661229</v>
      </c>
      <c r="V5">
        <v>661613</v>
      </c>
      <c r="W5">
        <f t="shared" si="0"/>
        <v>384</v>
      </c>
      <c r="X5" t="s">
        <v>44</v>
      </c>
      <c r="Z5" s="1">
        <v>46154</v>
      </c>
      <c r="AA5" t="s">
        <v>37</v>
      </c>
      <c r="AB5" s="1">
        <v>46163</v>
      </c>
      <c r="AC5" t="s">
        <v>37</v>
      </c>
    </row>
    <row r="6" spans="1:29" ht="16" customHeight="1" x14ac:dyDescent="0.35">
      <c r="A6" t="s">
        <v>29</v>
      </c>
      <c r="B6" s="1">
        <v>46150</v>
      </c>
      <c r="C6" t="s">
        <v>30</v>
      </c>
      <c r="D6" t="s">
        <v>31</v>
      </c>
      <c r="E6" t="s">
        <v>32</v>
      </c>
      <c r="F6" t="s">
        <v>33</v>
      </c>
      <c r="G6" t="s">
        <v>45</v>
      </c>
      <c r="H6" s="2">
        <v>0.47222222222222221</v>
      </c>
      <c r="I6">
        <v>18.82</v>
      </c>
      <c r="J6">
        <v>95.9</v>
      </c>
      <c r="K6">
        <v>8.89</v>
      </c>
      <c r="L6">
        <v>1280</v>
      </c>
      <c r="M6">
        <v>827.88699999999994</v>
      </c>
      <c r="N6" s="4">
        <v>0.64</v>
      </c>
      <c r="O6">
        <v>7.86</v>
      </c>
      <c r="P6">
        <v>42.36</v>
      </c>
      <c r="Q6">
        <v>-1.83</v>
      </c>
      <c r="R6">
        <v>4.3899999999999997</v>
      </c>
      <c r="S6" t="s">
        <v>35</v>
      </c>
      <c r="T6">
        <v>2</v>
      </c>
      <c r="U6">
        <v>661360</v>
      </c>
      <c r="V6">
        <v>662195</v>
      </c>
      <c r="W6">
        <f t="shared" si="0"/>
        <v>835</v>
      </c>
      <c r="X6" t="s">
        <v>46</v>
      </c>
      <c r="Z6" s="1">
        <v>46154</v>
      </c>
      <c r="AA6" t="s">
        <v>37</v>
      </c>
      <c r="AB6" s="1">
        <v>46163</v>
      </c>
      <c r="AC6" t="s">
        <v>37</v>
      </c>
    </row>
    <row r="7" spans="1:29" ht="16" customHeight="1" x14ac:dyDescent="0.35">
      <c r="B7" s="1">
        <v>46155</v>
      </c>
      <c r="C7" t="s">
        <v>30</v>
      </c>
      <c r="D7" t="s">
        <v>47</v>
      </c>
      <c r="E7" t="s">
        <v>48</v>
      </c>
      <c r="F7" t="s">
        <v>33</v>
      </c>
      <c r="G7" t="s">
        <v>34</v>
      </c>
      <c r="H7" s="2">
        <v>0.4513888888888889</v>
      </c>
      <c r="I7">
        <v>19.84</v>
      </c>
      <c r="J7">
        <v>92.4</v>
      </c>
      <c r="K7">
        <v>8.34</v>
      </c>
      <c r="L7">
        <v>2855</v>
      </c>
      <c r="M7">
        <v>1855.3510000000001</v>
      </c>
      <c r="N7">
        <v>1.49</v>
      </c>
      <c r="O7">
        <v>8.9</v>
      </c>
      <c r="P7">
        <v>89.2</v>
      </c>
      <c r="Q7">
        <v>-1.78</v>
      </c>
      <c r="R7">
        <v>4.87</v>
      </c>
      <c r="S7" t="s">
        <v>35</v>
      </c>
      <c r="T7">
        <v>2</v>
      </c>
      <c r="U7">
        <v>662181</v>
      </c>
      <c r="V7">
        <v>662419</v>
      </c>
      <c r="W7">
        <f t="shared" si="0"/>
        <v>238</v>
      </c>
      <c r="X7" t="s">
        <v>49</v>
      </c>
      <c r="Z7" s="1">
        <v>46160</v>
      </c>
      <c r="AA7" t="s">
        <v>37</v>
      </c>
      <c r="AB7" s="1">
        <v>46163</v>
      </c>
      <c r="AC7" t="s">
        <v>37</v>
      </c>
    </row>
    <row r="8" spans="1:29" ht="16" customHeight="1" x14ac:dyDescent="0.35">
      <c r="B8" s="1">
        <v>46155</v>
      </c>
      <c r="C8" t="s">
        <v>30</v>
      </c>
      <c r="D8" t="s">
        <v>47</v>
      </c>
      <c r="E8" t="s">
        <v>48</v>
      </c>
      <c r="F8" t="s">
        <v>33</v>
      </c>
      <c r="G8" t="s">
        <v>38</v>
      </c>
      <c r="H8" s="2">
        <v>0.46111111111111114</v>
      </c>
      <c r="I8">
        <v>20.78</v>
      </c>
      <c r="J8">
        <v>77.400000000000006</v>
      </c>
      <c r="K8">
        <v>6.81</v>
      </c>
      <c r="L8">
        <v>3420</v>
      </c>
      <c r="M8">
        <v>2222.6489999999999</v>
      </c>
      <c r="N8">
        <v>1.8</v>
      </c>
      <c r="O8">
        <v>7.89</v>
      </c>
      <c r="P8">
        <v>17.809999999999999</v>
      </c>
      <c r="Q8">
        <v>-1.1000000000000001</v>
      </c>
      <c r="R8">
        <v>30.11</v>
      </c>
      <c r="S8" t="s">
        <v>35</v>
      </c>
      <c r="T8">
        <v>2</v>
      </c>
      <c r="U8">
        <v>662381</v>
      </c>
      <c r="V8">
        <v>662720</v>
      </c>
      <c r="W8">
        <f t="shared" si="0"/>
        <v>339</v>
      </c>
      <c r="X8" t="s">
        <v>50</v>
      </c>
      <c r="Y8" t="s">
        <v>51</v>
      </c>
      <c r="Z8" s="1">
        <v>46160</v>
      </c>
      <c r="AA8" t="s">
        <v>37</v>
      </c>
      <c r="AB8" s="1">
        <v>46163</v>
      </c>
      <c r="AC8" t="s">
        <v>37</v>
      </c>
    </row>
    <row r="9" spans="1:29" ht="16" customHeight="1" x14ac:dyDescent="0.35">
      <c r="B9" s="1">
        <v>46155</v>
      </c>
      <c r="C9" t="s">
        <v>30</v>
      </c>
      <c r="D9" t="s">
        <v>47</v>
      </c>
      <c r="E9" t="s">
        <v>48</v>
      </c>
      <c r="F9" t="s">
        <v>33</v>
      </c>
      <c r="G9" t="s">
        <v>41</v>
      </c>
      <c r="H9" s="2">
        <v>0.46805555555555556</v>
      </c>
      <c r="I9">
        <v>19.34</v>
      </c>
      <c r="J9">
        <v>95.4</v>
      </c>
      <c r="K9">
        <v>8.68</v>
      </c>
      <c r="L9">
        <v>4005</v>
      </c>
      <c r="M9">
        <v>2605.5940000000001</v>
      </c>
      <c r="N9">
        <v>2.12</v>
      </c>
      <c r="O9">
        <v>9.1199999999999992</v>
      </c>
      <c r="P9">
        <v>96.75</v>
      </c>
      <c r="Q9">
        <v>-1.77</v>
      </c>
      <c r="R9">
        <v>4.1500000000000004</v>
      </c>
      <c r="S9" t="s">
        <v>35</v>
      </c>
      <c r="T9">
        <v>2</v>
      </c>
      <c r="U9">
        <v>662784</v>
      </c>
      <c r="V9">
        <v>663171</v>
      </c>
      <c r="W9">
        <f t="shared" si="0"/>
        <v>387</v>
      </c>
      <c r="X9" t="s">
        <v>52</v>
      </c>
      <c r="Z9" s="1">
        <v>46160</v>
      </c>
      <c r="AA9" t="s">
        <v>37</v>
      </c>
      <c r="AB9" s="1">
        <v>46163</v>
      </c>
      <c r="AC9" t="s">
        <v>37</v>
      </c>
    </row>
    <row r="10" spans="1:29" ht="16" customHeight="1" x14ac:dyDescent="0.35">
      <c r="B10" s="1">
        <v>46155</v>
      </c>
      <c r="C10" t="s">
        <v>30</v>
      </c>
      <c r="D10" t="s">
        <v>47</v>
      </c>
      <c r="E10" t="s">
        <v>48</v>
      </c>
      <c r="F10" t="s">
        <v>33</v>
      </c>
      <c r="G10" t="s">
        <v>43</v>
      </c>
      <c r="H10" s="2">
        <v>0.4777777777777778</v>
      </c>
      <c r="I10">
        <v>19.292999999999999</v>
      </c>
      <c r="J10">
        <v>96.8</v>
      </c>
      <c r="K10">
        <v>8.81</v>
      </c>
      <c r="L10">
        <v>4181</v>
      </c>
      <c r="M10">
        <v>2711.5169999999998</v>
      </c>
      <c r="N10">
        <v>2.23</v>
      </c>
      <c r="O10">
        <v>9.15</v>
      </c>
      <c r="P10">
        <v>44.87</v>
      </c>
      <c r="Q10">
        <v>-1.87</v>
      </c>
      <c r="R10">
        <v>3.73</v>
      </c>
      <c r="S10" t="s">
        <v>35</v>
      </c>
      <c r="T10">
        <v>2</v>
      </c>
      <c r="U10">
        <v>663208</v>
      </c>
      <c r="V10">
        <v>664043</v>
      </c>
      <c r="W10">
        <f t="shared" si="0"/>
        <v>835</v>
      </c>
      <c r="X10" t="s">
        <v>53</v>
      </c>
      <c r="Z10" s="1">
        <v>46160</v>
      </c>
      <c r="AA10" t="s">
        <v>37</v>
      </c>
      <c r="AB10" s="1">
        <v>46163</v>
      </c>
      <c r="AC10" t="s">
        <v>37</v>
      </c>
    </row>
    <row r="11" spans="1:29" ht="16" customHeight="1" x14ac:dyDescent="0.35">
      <c r="B11" s="1">
        <v>46155</v>
      </c>
      <c r="C11" t="s">
        <v>30</v>
      </c>
      <c r="D11" t="s">
        <v>47</v>
      </c>
      <c r="E11" t="s">
        <v>48</v>
      </c>
      <c r="F11" t="s">
        <v>33</v>
      </c>
      <c r="G11" t="s">
        <v>45</v>
      </c>
      <c r="H11" s="2">
        <v>0.48402777777777778</v>
      </c>
      <c r="I11">
        <v>19.274000000000001</v>
      </c>
      <c r="J11">
        <v>97.4</v>
      </c>
      <c r="K11">
        <v>8.8699999999999992</v>
      </c>
      <c r="L11">
        <v>4354</v>
      </c>
      <c r="M11">
        <v>2818.4119999999998</v>
      </c>
      <c r="N11">
        <v>2.31</v>
      </c>
      <c r="O11">
        <v>8.9700000000000006</v>
      </c>
      <c r="P11">
        <v>39.619999999999997</v>
      </c>
      <c r="Q11">
        <v>-1.9</v>
      </c>
      <c r="R11">
        <v>3.6</v>
      </c>
      <c r="S11" t="s">
        <v>35</v>
      </c>
      <c r="T11">
        <v>2</v>
      </c>
      <c r="U11">
        <v>664042</v>
      </c>
      <c r="V11">
        <v>664849</v>
      </c>
      <c r="W11">
        <f t="shared" si="0"/>
        <v>807</v>
      </c>
      <c r="X11" t="s">
        <v>54</v>
      </c>
      <c r="Z11" s="1">
        <v>46160</v>
      </c>
      <c r="AA11" t="s">
        <v>37</v>
      </c>
      <c r="AB11" s="1">
        <v>46163</v>
      </c>
      <c r="AC11" t="s">
        <v>37</v>
      </c>
    </row>
    <row r="12" spans="1:29" ht="16" customHeight="1" x14ac:dyDescent="0.35">
      <c r="B12" s="1">
        <v>46160</v>
      </c>
      <c r="C12" t="s">
        <v>30</v>
      </c>
      <c r="D12" t="s">
        <v>47</v>
      </c>
      <c r="E12" t="s">
        <v>55</v>
      </c>
      <c r="F12" t="s">
        <v>33</v>
      </c>
      <c r="G12" t="s">
        <v>34</v>
      </c>
      <c r="H12" s="2">
        <v>0.4826388888888889</v>
      </c>
      <c r="I12">
        <v>17.684000000000001</v>
      </c>
      <c r="J12">
        <v>82.2</v>
      </c>
      <c r="K12">
        <v>7.6</v>
      </c>
      <c r="L12">
        <v>9157</v>
      </c>
      <c r="M12">
        <v>5948.0110000000004</v>
      </c>
      <c r="N12">
        <v>5.14</v>
      </c>
      <c r="O12">
        <v>8.39</v>
      </c>
      <c r="P12">
        <v>22.59</v>
      </c>
      <c r="Q12">
        <v>-2.0299999999999998</v>
      </c>
      <c r="R12">
        <v>1.84</v>
      </c>
      <c r="S12" t="s">
        <v>35</v>
      </c>
      <c r="T12">
        <v>1</v>
      </c>
      <c r="U12">
        <v>664854</v>
      </c>
      <c r="V12">
        <v>665135</v>
      </c>
      <c r="W12">
        <f t="shared" si="0"/>
        <v>281</v>
      </c>
      <c r="X12" t="s">
        <v>56</v>
      </c>
      <c r="Y12" t="s">
        <v>57</v>
      </c>
      <c r="Z12" s="1">
        <v>46160</v>
      </c>
      <c r="AA12" t="s">
        <v>37</v>
      </c>
      <c r="AB12" s="1">
        <v>46163</v>
      </c>
      <c r="AC12" t="s">
        <v>37</v>
      </c>
    </row>
    <row r="13" spans="1:29" ht="16" customHeight="1" x14ac:dyDescent="0.35">
      <c r="B13" s="1">
        <v>46160</v>
      </c>
      <c r="C13" t="s">
        <v>30</v>
      </c>
      <c r="D13" t="s">
        <v>47</v>
      </c>
      <c r="E13" t="s">
        <v>55</v>
      </c>
      <c r="F13" t="s">
        <v>33</v>
      </c>
      <c r="G13" t="s">
        <v>38</v>
      </c>
      <c r="H13" s="2">
        <v>0.49305555555555558</v>
      </c>
      <c r="I13">
        <v>16.718</v>
      </c>
      <c r="J13">
        <v>85</v>
      </c>
      <c r="K13">
        <v>8.1</v>
      </c>
      <c r="L13">
        <v>6025</v>
      </c>
      <c r="M13">
        <v>3915.498</v>
      </c>
      <c r="N13">
        <v>3.29</v>
      </c>
      <c r="O13">
        <v>7.63</v>
      </c>
      <c r="P13">
        <v>41.61</v>
      </c>
      <c r="Q13">
        <v>-0.74</v>
      </c>
      <c r="R13">
        <v>28.22</v>
      </c>
      <c r="S13" t="s">
        <v>35</v>
      </c>
      <c r="T13">
        <v>2</v>
      </c>
      <c r="U13">
        <v>665161</v>
      </c>
      <c r="V13">
        <v>665504</v>
      </c>
      <c r="W13">
        <f t="shared" si="0"/>
        <v>343</v>
      </c>
      <c r="X13" t="s">
        <v>58</v>
      </c>
      <c r="Z13" s="1">
        <v>46160</v>
      </c>
      <c r="AA13" t="s">
        <v>37</v>
      </c>
      <c r="AB13" s="1">
        <v>46163</v>
      </c>
      <c r="AC13" t="s">
        <v>37</v>
      </c>
    </row>
    <row r="14" spans="1:29" ht="16" customHeight="1" x14ac:dyDescent="0.35">
      <c r="B14" s="1">
        <v>46160</v>
      </c>
      <c r="C14" t="s">
        <v>30</v>
      </c>
      <c r="D14" t="s">
        <v>47</v>
      </c>
      <c r="E14" t="s">
        <v>55</v>
      </c>
      <c r="F14" t="s">
        <v>33</v>
      </c>
      <c r="G14" t="s">
        <v>41</v>
      </c>
      <c r="H14" s="2">
        <v>0.50416666666666665</v>
      </c>
      <c r="I14">
        <v>18.981000000000002</v>
      </c>
      <c r="J14">
        <v>87.6</v>
      </c>
      <c r="K14">
        <v>8.0500000000000007</v>
      </c>
      <c r="L14">
        <v>3325</v>
      </c>
      <c r="M14">
        <v>2063.7469999999998</v>
      </c>
      <c r="N14">
        <v>1.67</v>
      </c>
      <c r="O14">
        <v>8.57</v>
      </c>
      <c r="P14">
        <v>69.27</v>
      </c>
      <c r="Q14">
        <v>-1.78</v>
      </c>
      <c r="R14">
        <v>4.51</v>
      </c>
      <c r="S14" t="s">
        <v>35</v>
      </c>
      <c r="T14">
        <v>2</v>
      </c>
      <c r="U14">
        <v>665531</v>
      </c>
      <c r="V14">
        <v>665969</v>
      </c>
      <c r="W14">
        <f t="shared" si="0"/>
        <v>438</v>
      </c>
      <c r="X14" t="s">
        <v>59</v>
      </c>
      <c r="Z14" s="1">
        <v>46160</v>
      </c>
      <c r="AA14" t="s">
        <v>37</v>
      </c>
      <c r="AB14" s="1">
        <v>46163</v>
      </c>
      <c r="AC14" t="s">
        <v>37</v>
      </c>
    </row>
    <row r="15" spans="1:29" ht="16" customHeight="1" x14ac:dyDescent="0.35">
      <c r="B15" s="1">
        <v>46160</v>
      </c>
      <c r="C15" t="s">
        <v>30</v>
      </c>
      <c r="D15" t="s">
        <v>47</v>
      </c>
      <c r="E15" t="s">
        <v>55</v>
      </c>
      <c r="F15" t="s">
        <v>33</v>
      </c>
      <c r="G15" t="s">
        <v>43</v>
      </c>
      <c r="H15" s="2">
        <v>0.51249999999999996</v>
      </c>
      <c r="I15">
        <v>18.893999999999998</v>
      </c>
      <c r="J15">
        <v>87.4</v>
      </c>
      <c r="K15">
        <v>8.0500000000000007</v>
      </c>
      <c r="L15">
        <v>3240</v>
      </c>
      <c r="M15">
        <v>2095.6109999999999</v>
      </c>
      <c r="N15">
        <v>1.66</v>
      </c>
      <c r="O15">
        <v>8.51</v>
      </c>
      <c r="P15">
        <v>61.54</v>
      </c>
      <c r="Q15">
        <v>-1.82</v>
      </c>
      <c r="R15">
        <v>4.47</v>
      </c>
      <c r="S15" t="s">
        <v>35</v>
      </c>
      <c r="T15">
        <v>1</v>
      </c>
      <c r="U15">
        <v>666652</v>
      </c>
      <c r="V15">
        <v>667259</v>
      </c>
      <c r="W15">
        <f t="shared" si="0"/>
        <v>607</v>
      </c>
      <c r="X15" t="s">
        <v>60</v>
      </c>
      <c r="Z15" s="1">
        <v>46160</v>
      </c>
      <c r="AA15" t="s">
        <v>37</v>
      </c>
      <c r="AB15" s="1">
        <v>46163</v>
      </c>
      <c r="AC15" t="s">
        <v>37</v>
      </c>
    </row>
    <row r="16" spans="1:29" ht="16" customHeight="1" x14ac:dyDescent="0.35">
      <c r="B16" s="1">
        <v>46160</v>
      </c>
      <c r="C16" t="s">
        <v>30</v>
      </c>
      <c r="D16" t="s">
        <v>47</v>
      </c>
      <c r="E16" t="s">
        <v>55</v>
      </c>
      <c r="F16" t="s">
        <v>33</v>
      </c>
      <c r="G16" t="s">
        <v>45</v>
      </c>
      <c r="H16" s="2">
        <v>0.51875000000000004</v>
      </c>
      <c r="I16">
        <v>19.052</v>
      </c>
      <c r="J16">
        <v>88.2</v>
      </c>
      <c r="K16">
        <v>8.1</v>
      </c>
      <c r="L16">
        <v>3095</v>
      </c>
      <c r="M16">
        <v>2011.627</v>
      </c>
      <c r="N16">
        <v>1.63</v>
      </c>
      <c r="O16">
        <v>8.52</v>
      </c>
      <c r="P16">
        <v>57.53</v>
      </c>
      <c r="Q16">
        <v>-1.85</v>
      </c>
      <c r="R16">
        <v>4.3899999999999997</v>
      </c>
      <c r="S16" t="s">
        <v>35</v>
      </c>
      <c r="T16">
        <v>1</v>
      </c>
      <c r="U16">
        <v>667267</v>
      </c>
      <c r="V16">
        <v>667792</v>
      </c>
      <c r="W16">
        <f t="shared" si="0"/>
        <v>525</v>
      </c>
      <c r="X16" t="s">
        <v>61</v>
      </c>
      <c r="Z16" s="1">
        <v>46160</v>
      </c>
      <c r="AA16" t="s">
        <v>37</v>
      </c>
      <c r="AB16" s="1">
        <v>46163</v>
      </c>
      <c r="AC16" t="s">
        <v>37</v>
      </c>
    </row>
    <row r="17" spans="2:29" ht="16" customHeight="1" x14ac:dyDescent="0.35">
      <c r="B17" s="1">
        <v>46176</v>
      </c>
      <c r="C17" t="s">
        <v>30</v>
      </c>
      <c r="D17" t="s">
        <v>31</v>
      </c>
      <c r="E17" t="s">
        <v>62</v>
      </c>
      <c r="F17" t="s">
        <v>33</v>
      </c>
      <c r="G17" t="s">
        <v>34</v>
      </c>
      <c r="H17" s="2">
        <v>0.45</v>
      </c>
      <c r="I17">
        <v>18.369</v>
      </c>
      <c r="J17">
        <v>41.9</v>
      </c>
      <c r="K17">
        <v>3.79</v>
      </c>
      <c r="L17">
        <v>9288</v>
      </c>
      <c r="M17">
        <v>6037.6629999999996</v>
      </c>
      <c r="N17">
        <v>5.23</v>
      </c>
      <c r="O17">
        <v>7.14</v>
      </c>
      <c r="P17">
        <v>-21.5</v>
      </c>
      <c r="Q17">
        <v>-1.49</v>
      </c>
      <c r="R17">
        <v>16.73</v>
      </c>
      <c r="S17">
        <v>138.57</v>
      </c>
      <c r="T17">
        <v>1</v>
      </c>
      <c r="U17">
        <v>667814</v>
      </c>
      <c r="V17">
        <v>668061</v>
      </c>
      <c r="W17">
        <f t="shared" si="0"/>
        <v>247</v>
      </c>
      <c r="X17" t="s">
        <v>63</v>
      </c>
      <c r="Z17" s="1">
        <v>46182</v>
      </c>
      <c r="AA17" t="s">
        <v>37</v>
      </c>
      <c r="AB17" s="1">
        <v>46198</v>
      </c>
      <c r="AC17" t="s">
        <v>37</v>
      </c>
    </row>
    <row r="18" spans="2:29" ht="16" customHeight="1" x14ac:dyDescent="0.35">
      <c r="B18" s="1">
        <v>46176</v>
      </c>
      <c r="C18" t="s">
        <v>30</v>
      </c>
      <c r="D18" t="s">
        <v>31</v>
      </c>
      <c r="E18" t="s">
        <v>62</v>
      </c>
      <c r="F18" t="s">
        <v>33</v>
      </c>
      <c r="G18" t="s">
        <v>38</v>
      </c>
      <c r="H18" s="2">
        <v>0.46041666666666664</v>
      </c>
      <c r="I18">
        <v>19.998999999999999</v>
      </c>
      <c r="J18">
        <v>77.3</v>
      </c>
      <c r="K18">
        <v>6.79</v>
      </c>
      <c r="L18">
        <v>9664</v>
      </c>
      <c r="M18">
        <v>6280.1970000000001</v>
      </c>
      <c r="N18">
        <v>5.45</v>
      </c>
      <c r="O18">
        <v>6.89</v>
      </c>
      <c r="P18">
        <v>9.7899999999999991</v>
      </c>
      <c r="Q18">
        <v>-1.23</v>
      </c>
      <c r="R18">
        <v>19.23</v>
      </c>
      <c r="S18">
        <v>119.29</v>
      </c>
      <c r="T18">
        <v>2</v>
      </c>
      <c r="U18">
        <v>668140</v>
      </c>
      <c r="V18">
        <v>668398</v>
      </c>
      <c r="W18">
        <f t="shared" si="0"/>
        <v>258</v>
      </c>
      <c r="X18" t="s">
        <v>64</v>
      </c>
      <c r="Z18" s="1">
        <v>46182</v>
      </c>
      <c r="AA18" t="s">
        <v>37</v>
      </c>
      <c r="AB18" s="1">
        <v>46198</v>
      </c>
      <c r="AC18" t="s">
        <v>37</v>
      </c>
    </row>
    <row r="19" spans="2:29" ht="16" customHeight="1" x14ac:dyDescent="0.35">
      <c r="B19" s="1">
        <v>46176</v>
      </c>
      <c r="C19" t="s">
        <v>30</v>
      </c>
      <c r="D19" t="s">
        <v>31</v>
      </c>
      <c r="E19" t="s">
        <v>62</v>
      </c>
      <c r="F19" t="s">
        <v>33</v>
      </c>
      <c r="G19" t="s">
        <v>41</v>
      </c>
      <c r="H19" s="2">
        <v>0.46805555555555556</v>
      </c>
      <c r="I19">
        <v>20.879000000000001</v>
      </c>
      <c r="J19">
        <v>88.3</v>
      </c>
      <c r="K19">
        <v>7.7</v>
      </c>
      <c r="L19">
        <v>7282</v>
      </c>
      <c r="M19">
        <v>4728.8180000000002</v>
      </c>
      <c r="N19">
        <v>4.0199999999999996</v>
      </c>
      <c r="O19">
        <v>8.0500000000000007</v>
      </c>
      <c r="P19">
        <v>56.61</v>
      </c>
      <c r="Q19">
        <v>-1.95</v>
      </c>
      <c r="R19">
        <v>3.27</v>
      </c>
      <c r="S19">
        <v>63.54</v>
      </c>
      <c r="T19">
        <v>1</v>
      </c>
      <c r="U19">
        <v>668404</v>
      </c>
      <c r="V19">
        <v>668842</v>
      </c>
      <c r="W19">
        <f t="shared" si="0"/>
        <v>438</v>
      </c>
      <c r="X19" t="s">
        <v>65</v>
      </c>
      <c r="Z19" s="1">
        <v>46182</v>
      </c>
      <c r="AA19" t="s">
        <v>37</v>
      </c>
      <c r="AB19" s="1">
        <v>46198</v>
      </c>
      <c r="AC19" t="s">
        <v>37</v>
      </c>
    </row>
    <row r="20" spans="2:29" ht="16" customHeight="1" x14ac:dyDescent="0.35">
      <c r="B20" s="1">
        <v>46176</v>
      </c>
      <c r="C20" t="s">
        <v>30</v>
      </c>
      <c r="D20" t="s">
        <v>31</v>
      </c>
      <c r="E20" t="s">
        <v>62</v>
      </c>
      <c r="F20" t="s">
        <v>33</v>
      </c>
      <c r="G20" t="s">
        <v>43</v>
      </c>
      <c r="H20" s="2">
        <v>0.47708333333333336</v>
      </c>
      <c r="I20">
        <v>20.725999999999999</v>
      </c>
      <c r="J20">
        <v>86.9</v>
      </c>
      <c r="K20">
        <v>7.61</v>
      </c>
      <c r="L20">
        <v>7083</v>
      </c>
      <c r="M20">
        <v>4616.1379999999999</v>
      </c>
      <c r="N20">
        <v>3.93</v>
      </c>
      <c r="O20">
        <v>8</v>
      </c>
      <c r="P20">
        <v>53.15</v>
      </c>
      <c r="Q20">
        <v>-1.93</v>
      </c>
      <c r="R20">
        <v>3.44</v>
      </c>
      <c r="S20">
        <v>68.87</v>
      </c>
      <c r="T20">
        <v>2</v>
      </c>
      <c r="U20">
        <v>668839</v>
      </c>
      <c r="V20">
        <v>669549</v>
      </c>
      <c r="W20">
        <f t="shared" si="0"/>
        <v>710</v>
      </c>
      <c r="X20" t="s">
        <v>66</v>
      </c>
      <c r="Z20" s="1">
        <v>46182</v>
      </c>
      <c r="AA20" t="s">
        <v>37</v>
      </c>
      <c r="AB20" s="1">
        <v>46198</v>
      </c>
      <c r="AC20" t="s">
        <v>37</v>
      </c>
    </row>
    <row r="21" spans="2:29" ht="16" customHeight="1" x14ac:dyDescent="0.35">
      <c r="B21" s="1">
        <v>46176</v>
      </c>
      <c r="C21" t="s">
        <v>30</v>
      </c>
      <c r="D21" t="s">
        <v>31</v>
      </c>
      <c r="E21" t="s">
        <v>62</v>
      </c>
      <c r="F21" t="s">
        <v>33</v>
      </c>
      <c r="G21" t="s">
        <v>45</v>
      </c>
      <c r="H21" s="2">
        <v>0.48194444444444445</v>
      </c>
      <c r="I21">
        <v>20.736000000000001</v>
      </c>
      <c r="J21">
        <v>86.4</v>
      </c>
      <c r="K21">
        <v>7.58</v>
      </c>
      <c r="L21">
        <v>6529</v>
      </c>
      <c r="M21">
        <v>4252.8440000000001</v>
      </c>
      <c r="N21">
        <v>3.59</v>
      </c>
      <c r="O21">
        <v>7.99</v>
      </c>
      <c r="P21">
        <v>35.31</v>
      </c>
      <c r="Q21">
        <v>-1.99</v>
      </c>
      <c r="R21">
        <v>3.34</v>
      </c>
      <c r="S21">
        <v>79.3</v>
      </c>
      <c r="T21">
        <v>2</v>
      </c>
      <c r="U21">
        <v>669585</v>
      </c>
      <c r="V21">
        <v>670379</v>
      </c>
      <c r="W21">
        <f t="shared" si="0"/>
        <v>794</v>
      </c>
      <c r="X21" t="s">
        <v>67</v>
      </c>
      <c r="Z21" s="1">
        <v>46182</v>
      </c>
      <c r="AA21" t="s">
        <v>37</v>
      </c>
      <c r="AB21" s="1">
        <v>46198</v>
      </c>
      <c r="AC21" t="s">
        <v>37</v>
      </c>
    </row>
    <row r="22" spans="2:29" ht="16" customHeight="1" x14ac:dyDescent="0.35">
      <c r="B22" s="1">
        <v>46182</v>
      </c>
      <c r="C22" t="s">
        <v>30</v>
      </c>
      <c r="D22" t="s">
        <v>47</v>
      </c>
      <c r="E22" t="s">
        <v>68</v>
      </c>
      <c r="F22" t="s">
        <v>33</v>
      </c>
      <c r="G22" t="s">
        <v>34</v>
      </c>
      <c r="H22" s="2">
        <v>0.41388888888888886</v>
      </c>
      <c r="I22">
        <v>19.661000000000001</v>
      </c>
      <c r="J22">
        <v>84.2</v>
      </c>
      <c r="K22">
        <v>7.48</v>
      </c>
      <c r="L22">
        <v>9017</v>
      </c>
      <c r="M22">
        <v>5861.5129999999999</v>
      </c>
      <c r="N22">
        <v>5.0599999999999996</v>
      </c>
      <c r="O22">
        <v>7.98</v>
      </c>
      <c r="P22">
        <v>25.17</v>
      </c>
      <c r="Q22">
        <v>-1.99</v>
      </c>
      <c r="R22">
        <v>3.29</v>
      </c>
      <c r="S22">
        <v>40.25</v>
      </c>
      <c r="T22">
        <v>2</v>
      </c>
      <c r="U22">
        <v>670385</v>
      </c>
      <c r="V22">
        <v>670588</v>
      </c>
      <c r="W22">
        <f t="shared" si="0"/>
        <v>203</v>
      </c>
      <c r="X22" t="s">
        <v>69</v>
      </c>
      <c r="Z22" s="1">
        <v>46182</v>
      </c>
      <c r="AA22" t="s">
        <v>37</v>
      </c>
      <c r="AB22" s="1">
        <v>46198</v>
      </c>
      <c r="AC22" t="s">
        <v>37</v>
      </c>
    </row>
    <row r="23" spans="2:29" ht="16" customHeight="1" x14ac:dyDescent="0.35">
      <c r="B23" s="1">
        <v>46182</v>
      </c>
      <c r="C23" t="s">
        <v>30</v>
      </c>
      <c r="D23" t="s">
        <v>47</v>
      </c>
      <c r="E23" t="s">
        <v>68</v>
      </c>
      <c r="F23" t="s">
        <v>33</v>
      </c>
      <c r="G23" t="s">
        <v>38</v>
      </c>
      <c r="H23" s="2">
        <v>0.4236111111111111</v>
      </c>
      <c r="I23">
        <v>20.338000000000001</v>
      </c>
      <c r="J23">
        <v>60.2</v>
      </c>
      <c r="K23">
        <v>5.24</v>
      </c>
      <c r="L23">
        <v>10394</v>
      </c>
      <c r="M23">
        <v>6756.0870000000004</v>
      </c>
      <c r="N23">
        <v>5.89</v>
      </c>
      <c r="O23">
        <v>6.95</v>
      </c>
      <c r="P23">
        <v>16.829999999999998</v>
      </c>
      <c r="Q23">
        <v>0.38</v>
      </c>
      <c r="R23">
        <v>64.099999999999994</v>
      </c>
      <c r="S23">
        <v>173.75</v>
      </c>
      <c r="T23">
        <v>1</v>
      </c>
      <c r="U23">
        <v>670579</v>
      </c>
      <c r="V23">
        <v>670915</v>
      </c>
      <c r="W23">
        <f t="shared" si="0"/>
        <v>336</v>
      </c>
      <c r="X23" t="s">
        <v>70</v>
      </c>
      <c r="Z23" s="1">
        <v>46182</v>
      </c>
      <c r="AA23" t="s">
        <v>37</v>
      </c>
      <c r="AB23" s="1">
        <v>46198</v>
      </c>
      <c r="AC23" t="s">
        <v>37</v>
      </c>
    </row>
    <row r="24" spans="2:29" ht="16" customHeight="1" x14ac:dyDescent="0.35">
      <c r="B24" s="1">
        <v>46182</v>
      </c>
      <c r="C24" t="s">
        <v>30</v>
      </c>
      <c r="D24" t="s">
        <v>47</v>
      </c>
      <c r="E24" t="s">
        <v>68</v>
      </c>
      <c r="F24" t="s">
        <v>33</v>
      </c>
      <c r="G24" t="s">
        <v>41</v>
      </c>
      <c r="H24" s="2">
        <v>0.43055555555555558</v>
      </c>
      <c r="I24">
        <v>19.844999999999999</v>
      </c>
      <c r="J24">
        <v>95.8</v>
      </c>
      <c r="K24">
        <v>8.4600000000000009</v>
      </c>
      <c r="L24">
        <v>9656</v>
      </c>
      <c r="M24">
        <v>6252.2479999999996</v>
      </c>
      <c r="N24">
        <v>5.39</v>
      </c>
      <c r="O24">
        <v>8.26</v>
      </c>
      <c r="P24">
        <v>29.9</v>
      </c>
      <c r="Q24">
        <v>-2.0099999999999998</v>
      </c>
      <c r="R24">
        <v>2.65</v>
      </c>
      <c r="S24">
        <v>35</v>
      </c>
      <c r="T24">
        <v>1</v>
      </c>
      <c r="U24">
        <v>670938</v>
      </c>
      <c r="V24">
        <v>671349</v>
      </c>
      <c r="W24">
        <f t="shared" si="0"/>
        <v>411</v>
      </c>
      <c r="X24" t="s">
        <v>71</v>
      </c>
      <c r="Z24" s="1">
        <v>46182</v>
      </c>
      <c r="AA24" t="s">
        <v>37</v>
      </c>
      <c r="AB24" s="1">
        <v>46198</v>
      </c>
      <c r="AC24" t="s">
        <v>37</v>
      </c>
    </row>
    <row r="25" spans="2:29" ht="16" customHeight="1" x14ac:dyDescent="0.35">
      <c r="B25" s="1">
        <v>46182</v>
      </c>
      <c r="C25" t="s">
        <v>30</v>
      </c>
      <c r="D25" t="s">
        <v>47</v>
      </c>
      <c r="E25" t="s">
        <v>68</v>
      </c>
      <c r="F25" t="s">
        <v>33</v>
      </c>
      <c r="G25" t="s">
        <v>43</v>
      </c>
      <c r="H25" s="2">
        <v>0.43541666666666667</v>
      </c>
      <c r="I25">
        <v>19.878</v>
      </c>
      <c r="J25">
        <v>97.1</v>
      </c>
      <c r="K25">
        <v>8.57</v>
      </c>
      <c r="L25">
        <v>9705</v>
      </c>
      <c r="M25">
        <v>6289.0150000000003</v>
      </c>
      <c r="N25">
        <v>5.45</v>
      </c>
      <c r="O25">
        <v>8.31</v>
      </c>
      <c r="P25">
        <v>20.190000000000001</v>
      </c>
      <c r="Q25">
        <v>-2.0499999999999998</v>
      </c>
      <c r="R25">
        <v>2.72</v>
      </c>
      <c r="S25">
        <v>33.19</v>
      </c>
      <c r="T25">
        <v>1</v>
      </c>
      <c r="U25">
        <v>671372</v>
      </c>
      <c r="V25">
        <v>671822</v>
      </c>
      <c r="W25">
        <f t="shared" si="0"/>
        <v>450</v>
      </c>
      <c r="X25" t="s">
        <v>72</v>
      </c>
      <c r="Z25" s="1">
        <v>46182</v>
      </c>
      <c r="AA25" t="s">
        <v>37</v>
      </c>
      <c r="AB25" s="1">
        <v>46198</v>
      </c>
      <c r="AC25" t="s">
        <v>37</v>
      </c>
    </row>
    <row r="26" spans="2:29" ht="16" customHeight="1" x14ac:dyDescent="0.35">
      <c r="B26" s="1">
        <v>46182</v>
      </c>
      <c r="C26" t="s">
        <v>30</v>
      </c>
      <c r="D26" t="s">
        <v>47</v>
      </c>
      <c r="E26" t="s">
        <v>68</v>
      </c>
      <c r="F26" t="s">
        <v>33</v>
      </c>
      <c r="G26" t="s">
        <v>45</v>
      </c>
      <c r="H26" s="2">
        <v>0.44027777777777777</v>
      </c>
      <c r="I26">
        <v>20.012</v>
      </c>
      <c r="J26">
        <v>98.5</v>
      </c>
      <c r="K26">
        <v>8.67</v>
      </c>
      <c r="L26">
        <v>9718</v>
      </c>
      <c r="M26">
        <v>6324.6880000000001</v>
      </c>
      <c r="N26">
        <v>5.48</v>
      </c>
      <c r="O26">
        <v>8.3000000000000007</v>
      </c>
      <c r="P26">
        <v>18.43</v>
      </c>
      <c r="Q26">
        <v>-2.0299999999999998</v>
      </c>
      <c r="R26">
        <v>2.16</v>
      </c>
      <c r="S26">
        <v>32.61</v>
      </c>
      <c r="T26">
        <v>1</v>
      </c>
      <c r="U26">
        <v>671828</v>
      </c>
      <c r="V26">
        <v>672277</v>
      </c>
      <c r="W26">
        <f t="shared" si="0"/>
        <v>449</v>
      </c>
      <c r="X26" t="s">
        <v>73</v>
      </c>
      <c r="Z26" s="1">
        <v>46182</v>
      </c>
      <c r="AA26" t="s">
        <v>37</v>
      </c>
      <c r="AB26" s="1">
        <v>46198</v>
      </c>
      <c r="AC26" t="s">
        <v>37</v>
      </c>
    </row>
    <row r="27" spans="2:29" ht="16" customHeight="1" x14ac:dyDescent="0.35">
      <c r="B27" s="1">
        <v>46190</v>
      </c>
      <c r="C27" t="s">
        <v>30</v>
      </c>
      <c r="D27" t="s">
        <v>47</v>
      </c>
      <c r="E27" t="s">
        <v>68</v>
      </c>
      <c r="F27" t="s">
        <v>33</v>
      </c>
      <c r="G27" t="s">
        <v>34</v>
      </c>
      <c r="H27" s="2">
        <v>0.51458333333333328</v>
      </c>
      <c r="I27">
        <v>20.722000000000001</v>
      </c>
      <c r="J27">
        <v>89.4</v>
      </c>
      <c r="K27">
        <v>7.57</v>
      </c>
      <c r="L27">
        <v>15972</v>
      </c>
      <c r="M27">
        <v>10387.521000000001</v>
      </c>
      <c r="N27">
        <v>9.3699999999999992</v>
      </c>
      <c r="O27">
        <v>6.7</v>
      </c>
      <c r="P27">
        <v>17.12</v>
      </c>
      <c r="Q27">
        <v>-2.17</v>
      </c>
      <c r="R27">
        <v>2.2000000000000002</v>
      </c>
      <c r="S27">
        <v>38.1</v>
      </c>
      <c r="T27">
        <v>1</v>
      </c>
      <c r="U27">
        <v>674889</v>
      </c>
      <c r="V27">
        <v>675158</v>
      </c>
      <c r="W27">
        <f t="shared" ref="W27:W40" si="1">V27-U27</f>
        <v>269</v>
      </c>
      <c r="X27" t="s">
        <v>74</v>
      </c>
      <c r="Z27" s="1">
        <v>46191</v>
      </c>
      <c r="AA27" t="s">
        <v>37</v>
      </c>
      <c r="AB27" s="1">
        <v>46198</v>
      </c>
      <c r="AC27" t="s">
        <v>37</v>
      </c>
    </row>
    <row r="28" spans="2:29" ht="16" customHeight="1" x14ac:dyDescent="0.35">
      <c r="B28" s="1">
        <v>46190</v>
      </c>
      <c r="C28" t="s">
        <v>30</v>
      </c>
      <c r="D28" t="s">
        <v>47</v>
      </c>
      <c r="E28" t="s">
        <v>68</v>
      </c>
      <c r="F28" t="s">
        <v>33</v>
      </c>
      <c r="G28" t="s">
        <v>38</v>
      </c>
      <c r="H28" s="2">
        <v>0.5229166666666667</v>
      </c>
      <c r="I28">
        <v>22.922999999999998</v>
      </c>
      <c r="J28">
        <v>64.8</v>
      </c>
      <c r="K28">
        <v>5.31</v>
      </c>
      <c r="L28">
        <v>12945</v>
      </c>
      <c r="M28">
        <v>8418.4709999999995</v>
      </c>
      <c r="N28">
        <v>7.46</v>
      </c>
      <c r="O28">
        <v>5.18</v>
      </c>
      <c r="P28">
        <v>21.11</v>
      </c>
      <c r="Q28">
        <v>-0.45</v>
      </c>
      <c r="R28">
        <v>39.979999999999997</v>
      </c>
      <c r="S28">
        <v>198.19</v>
      </c>
      <c r="T28">
        <v>2</v>
      </c>
      <c r="U28">
        <v>675195</v>
      </c>
      <c r="V28">
        <v>675504</v>
      </c>
      <c r="W28">
        <f t="shared" si="1"/>
        <v>309</v>
      </c>
      <c r="X28" t="s">
        <v>75</v>
      </c>
      <c r="Z28" s="1">
        <v>46191</v>
      </c>
      <c r="AA28" t="s">
        <v>37</v>
      </c>
      <c r="AB28" s="1">
        <v>46198</v>
      </c>
      <c r="AC28" t="s">
        <v>37</v>
      </c>
    </row>
    <row r="29" spans="2:29" ht="16" customHeight="1" x14ac:dyDescent="0.35">
      <c r="B29" s="1">
        <v>46190</v>
      </c>
      <c r="C29" t="s">
        <v>30</v>
      </c>
      <c r="D29" t="s">
        <v>47</v>
      </c>
      <c r="E29" t="s">
        <v>68</v>
      </c>
      <c r="F29" t="s">
        <v>33</v>
      </c>
      <c r="G29" t="s">
        <v>41</v>
      </c>
      <c r="H29" s="2">
        <v>0.52916666666666667</v>
      </c>
      <c r="I29">
        <v>21.66</v>
      </c>
      <c r="J29">
        <v>84.4</v>
      </c>
      <c r="K29">
        <v>7.21</v>
      </c>
      <c r="L29">
        <v>8671</v>
      </c>
      <c r="M29">
        <v>5634.4170000000004</v>
      </c>
      <c r="N29">
        <v>4.84</v>
      </c>
      <c r="O29">
        <v>6.76</v>
      </c>
      <c r="P29">
        <v>51.04</v>
      </c>
      <c r="Q29">
        <v>-2.09</v>
      </c>
      <c r="R29">
        <v>2.95</v>
      </c>
      <c r="S29">
        <v>71.61</v>
      </c>
      <c r="T29">
        <v>2</v>
      </c>
      <c r="U29">
        <v>675502</v>
      </c>
      <c r="V29">
        <v>676017</v>
      </c>
      <c r="W29">
        <f t="shared" si="1"/>
        <v>515</v>
      </c>
      <c r="X29" t="s">
        <v>76</v>
      </c>
      <c r="Z29" s="1">
        <v>46191</v>
      </c>
      <c r="AA29" t="s">
        <v>37</v>
      </c>
      <c r="AB29" s="1">
        <v>46198</v>
      </c>
      <c r="AC29" t="s">
        <v>37</v>
      </c>
    </row>
    <row r="30" spans="2:29" ht="16" customHeight="1" x14ac:dyDescent="0.35">
      <c r="B30" s="1">
        <v>46190</v>
      </c>
      <c r="C30" t="s">
        <v>30</v>
      </c>
      <c r="D30" t="s">
        <v>47</v>
      </c>
      <c r="E30" t="s">
        <v>68</v>
      </c>
      <c r="F30" t="s">
        <v>33</v>
      </c>
      <c r="G30" t="s">
        <v>43</v>
      </c>
      <c r="H30" s="2">
        <v>0.53402777777777777</v>
      </c>
      <c r="I30">
        <v>21.638000000000002</v>
      </c>
      <c r="J30">
        <v>83.2</v>
      </c>
      <c r="K30">
        <v>7.13</v>
      </c>
      <c r="L30">
        <v>8383</v>
      </c>
      <c r="M30">
        <v>5451.152</v>
      </c>
      <c r="N30">
        <v>4.5599999999999996</v>
      </c>
      <c r="O30">
        <v>6.74</v>
      </c>
      <c r="P30">
        <v>31.17</v>
      </c>
      <c r="Q30">
        <v>-2.13</v>
      </c>
      <c r="R30">
        <v>2.9</v>
      </c>
      <c r="S30">
        <v>81.81</v>
      </c>
      <c r="T30">
        <v>2</v>
      </c>
      <c r="U30">
        <v>676051</v>
      </c>
      <c r="V30">
        <v>676614</v>
      </c>
      <c r="W30">
        <f t="shared" si="1"/>
        <v>563</v>
      </c>
      <c r="X30" t="s">
        <v>77</v>
      </c>
      <c r="Z30" s="1">
        <v>46191</v>
      </c>
      <c r="AA30" t="s">
        <v>37</v>
      </c>
      <c r="AB30" s="1">
        <v>46198</v>
      </c>
      <c r="AC30" t="s">
        <v>37</v>
      </c>
    </row>
    <row r="31" spans="2:29" ht="16" customHeight="1" x14ac:dyDescent="0.35">
      <c r="B31" s="1">
        <v>46190</v>
      </c>
      <c r="C31" t="s">
        <v>30</v>
      </c>
      <c r="D31" t="s">
        <v>47</v>
      </c>
      <c r="E31" t="s">
        <v>68</v>
      </c>
      <c r="F31" t="s">
        <v>33</v>
      </c>
      <c r="G31" t="s">
        <v>45</v>
      </c>
      <c r="H31" s="2">
        <v>0.53819444444444442</v>
      </c>
      <c r="I31">
        <v>21.978000000000002</v>
      </c>
      <c r="J31">
        <v>84.8</v>
      </c>
      <c r="K31">
        <v>7.22</v>
      </c>
      <c r="L31">
        <v>7883</v>
      </c>
      <c r="M31">
        <v>5101.6030000000001</v>
      </c>
      <c r="N31">
        <v>4.34</v>
      </c>
      <c r="O31">
        <v>6.7</v>
      </c>
      <c r="P31">
        <v>29.16</v>
      </c>
      <c r="Q31">
        <v>-2.16</v>
      </c>
      <c r="R31">
        <v>3.1</v>
      </c>
      <c r="S31">
        <v>80.86</v>
      </c>
      <c r="T31">
        <v>2</v>
      </c>
      <c r="U31">
        <v>676618</v>
      </c>
      <c r="V31">
        <v>677285</v>
      </c>
      <c r="W31">
        <f t="shared" si="1"/>
        <v>667</v>
      </c>
      <c r="X31" t="s">
        <v>78</v>
      </c>
      <c r="Z31" s="1">
        <v>46191</v>
      </c>
      <c r="AA31" t="s">
        <v>37</v>
      </c>
      <c r="AB31" s="1">
        <v>46198</v>
      </c>
      <c r="AC31" t="s">
        <v>37</v>
      </c>
    </row>
    <row r="32" spans="2:29" ht="16" customHeight="1" x14ac:dyDescent="0.35">
      <c r="B32" s="1">
        <v>46190</v>
      </c>
      <c r="C32" t="s">
        <v>30</v>
      </c>
      <c r="D32" t="s">
        <v>47</v>
      </c>
      <c r="E32" t="s">
        <v>68</v>
      </c>
      <c r="F32" t="s">
        <v>79</v>
      </c>
      <c r="G32" t="s">
        <v>34</v>
      </c>
      <c r="H32" s="2">
        <v>0.44444444444444442</v>
      </c>
      <c r="I32">
        <v>21.95</v>
      </c>
      <c r="J32">
        <v>74.8</v>
      </c>
      <c r="K32">
        <v>6.46</v>
      </c>
      <c r="L32">
        <v>4491</v>
      </c>
      <c r="M32">
        <v>2918.3420000000001</v>
      </c>
      <c r="N32">
        <v>2.4</v>
      </c>
      <c r="O32">
        <v>6.6</v>
      </c>
      <c r="P32">
        <v>21.9</v>
      </c>
      <c r="Q32">
        <v>-2.0699999999999998</v>
      </c>
      <c r="R32">
        <v>4.4000000000000004</v>
      </c>
      <c r="S32">
        <v>100.94</v>
      </c>
      <c r="T32">
        <v>1</v>
      </c>
      <c r="U32">
        <v>672292</v>
      </c>
      <c r="V32">
        <v>672727</v>
      </c>
      <c r="W32">
        <f t="shared" si="1"/>
        <v>435</v>
      </c>
      <c r="X32" t="s">
        <v>80</v>
      </c>
      <c r="Z32" s="1">
        <v>46191</v>
      </c>
      <c r="AA32" t="s">
        <v>37</v>
      </c>
      <c r="AB32" s="1">
        <v>46198</v>
      </c>
      <c r="AC32" t="s">
        <v>37</v>
      </c>
    </row>
    <row r="33" spans="2:29" ht="16" customHeight="1" x14ac:dyDescent="0.35">
      <c r="B33" s="1">
        <v>46190</v>
      </c>
      <c r="C33" t="s">
        <v>30</v>
      </c>
      <c r="D33" t="s">
        <v>47</v>
      </c>
      <c r="E33" t="s">
        <v>68</v>
      </c>
      <c r="F33" t="s">
        <v>79</v>
      </c>
      <c r="G33" t="s">
        <v>38</v>
      </c>
      <c r="H33" s="2">
        <v>0.46944444444444444</v>
      </c>
      <c r="I33">
        <v>21.052</v>
      </c>
      <c r="J33">
        <v>51.7</v>
      </c>
      <c r="K33">
        <v>4.5199999999999996</v>
      </c>
      <c r="L33">
        <v>5681</v>
      </c>
      <c r="M33">
        <v>3693.5929999999998</v>
      </c>
      <c r="N33">
        <v>3.04</v>
      </c>
      <c r="O33">
        <v>5.1100000000000003</v>
      </c>
      <c r="P33">
        <v>17.55</v>
      </c>
      <c r="Q33">
        <v>-1.68</v>
      </c>
      <c r="R33">
        <v>12.41</v>
      </c>
      <c r="S33">
        <v>110.18</v>
      </c>
      <c r="T33">
        <v>1</v>
      </c>
      <c r="U33">
        <v>672734</v>
      </c>
      <c r="V33">
        <v>673141</v>
      </c>
      <c r="W33">
        <f t="shared" si="1"/>
        <v>407</v>
      </c>
      <c r="X33" t="s">
        <v>81</v>
      </c>
      <c r="Z33" s="1">
        <v>46191</v>
      </c>
      <c r="AA33" t="s">
        <v>37</v>
      </c>
      <c r="AB33" s="1">
        <v>46198</v>
      </c>
      <c r="AC33" t="s">
        <v>37</v>
      </c>
    </row>
    <row r="34" spans="2:29" ht="16" customHeight="1" x14ac:dyDescent="0.35">
      <c r="B34" s="1">
        <v>46190</v>
      </c>
      <c r="C34" t="s">
        <v>30</v>
      </c>
      <c r="D34" t="s">
        <v>47</v>
      </c>
      <c r="E34" t="s">
        <v>68</v>
      </c>
      <c r="F34" t="s">
        <v>79</v>
      </c>
      <c r="G34" t="s">
        <v>41</v>
      </c>
      <c r="H34" s="2">
        <v>0.47847222222222224</v>
      </c>
      <c r="I34">
        <v>21.395</v>
      </c>
      <c r="J34">
        <v>74.7</v>
      </c>
      <c r="K34">
        <v>6.5</v>
      </c>
      <c r="L34">
        <v>4898</v>
      </c>
      <c r="M34">
        <v>3200.1219999999998</v>
      </c>
      <c r="N34">
        <v>2.64</v>
      </c>
      <c r="O34">
        <v>5.91</v>
      </c>
      <c r="P34">
        <v>42.78</v>
      </c>
      <c r="Q34">
        <v>-1.87</v>
      </c>
      <c r="R34">
        <v>7.41</v>
      </c>
      <c r="S34">
        <v>96.55</v>
      </c>
      <c r="T34">
        <v>2</v>
      </c>
      <c r="U34">
        <v>673271</v>
      </c>
      <c r="V34">
        <v>673625</v>
      </c>
      <c r="W34">
        <f t="shared" si="1"/>
        <v>354</v>
      </c>
      <c r="X34" t="s">
        <v>82</v>
      </c>
      <c r="Z34" s="1">
        <v>46191</v>
      </c>
      <c r="AA34" t="s">
        <v>37</v>
      </c>
      <c r="AB34" s="1">
        <v>46198</v>
      </c>
      <c r="AC34" t="s">
        <v>37</v>
      </c>
    </row>
    <row r="35" spans="2:29" ht="16" customHeight="1" x14ac:dyDescent="0.35">
      <c r="B35" s="1">
        <v>46190</v>
      </c>
      <c r="C35" t="s">
        <v>30</v>
      </c>
      <c r="D35" t="s">
        <v>47</v>
      </c>
      <c r="E35" t="s">
        <v>68</v>
      </c>
      <c r="F35" t="s">
        <v>79</v>
      </c>
      <c r="G35" t="s">
        <v>43</v>
      </c>
      <c r="H35" s="2">
        <v>0.48472222222222222</v>
      </c>
      <c r="I35">
        <v>21.763999999999999</v>
      </c>
      <c r="J35">
        <v>83.9</v>
      </c>
      <c r="K35">
        <v>7.27</v>
      </c>
      <c r="L35">
        <v>4244</v>
      </c>
      <c r="M35">
        <v>2772.1619999999998</v>
      </c>
      <c r="N35">
        <v>2.2799999999999998</v>
      </c>
      <c r="O35">
        <v>6.57</v>
      </c>
      <c r="P35">
        <v>30.78</v>
      </c>
      <c r="Q35">
        <v>-2.0099999999999998</v>
      </c>
      <c r="R35">
        <v>5.44</v>
      </c>
      <c r="S35">
        <v>111.31</v>
      </c>
      <c r="T35">
        <v>2</v>
      </c>
      <c r="U35">
        <v>673664</v>
      </c>
      <c r="V35">
        <v>674285</v>
      </c>
      <c r="W35">
        <f t="shared" si="1"/>
        <v>621</v>
      </c>
      <c r="X35" t="s">
        <v>83</v>
      </c>
      <c r="Z35" s="1">
        <v>46191</v>
      </c>
      <c r="AA35" t="s">
        <v>37</v>
      </c>
      <c r="AB35" s="1">
        <v>46198</v>
      </c>
      <c r="AC35" t="s">
        <v>37</v>
      </c>
    </row>
    <row r="36" spans="2:29" ht="16" customHeight="1" x14ac:dyDescent="0.35">
      <c r="B36" s="1">
        <v>46190</v>
      </c>
      <c r="C36" t="s">
        <v>30</v>
      </c>
      <c r="D36" t="s">
        <v>47</v>
      </c>
      <c r="E36" t="s">
        <v>68</v>
      </c>
      <c r="F36" t="s">
        <v>79</v>
      </c>
      <c r="G36" t="s">
        <v>45</v>
      </c>
      <c r="H36" s="2">
        <v>0.4909722222222222</v>
      </c>
      <c r="I36">
        <v>21.966000000000001</v>
      </c>
      <c r="J36">
        <v>88.1</v>
      </c>
      <c r="K36">
        <v>7.62</v>
      </c>
      <c r="L36">
        <v>4240</v>
      </c>
      <c r="M36">
        <v>2756.0709999999999</v>
      </c>
      <c r="N36">
        <v>2.2599999999999998</v>
      </c>
      <c r="O36">
        <v>6.64</v>
      </c>
      <c r="P36">
        <v>31.75</v>
      </c>
      <c r="Q36">
        <v>-2.08</v>
      </c>
      <c r="R36">
        <v>5.04</v>
      </c>
      <c r="S36">
        <v>108.06</v>
      </c>
      <c r="T36">
        <v>2</v>
      </c>
      <c r="U36">
        <v>674289</v>
      </c>
      <c r="V36">
        <v>674889</v>
      </c>
      <c r="W36">
        <f t="shared" si="1"/>
        <v>600</v>
      </c>
      <c r="X36" t="s">
        <v>84</v>
      </c>
      <c r="Z36" s="1">
        <v>46191</v>
      </c>
      <c r="AA36" t="s">
        <v>37</v>
      </c>
      <c r="AB36" s="1">
        <v>46198</v>
      </c>
      <c r="AC36" t="s">
        <v>37</v>
      </c>
    </row>
    <row r="37" spans="2:29" ht="16" customHeight="1" x14ac:dyDescent="0.35">
      <c r="B37" s="1">
        <v>46197</v>
      </c>
      <c r="C37" t="s">
        <v>30</v>
      </c>
      <c r="D37" t="s">
        <v>85</v>
      </c>
      <c r="E37" t="s">
        <v>86</v>
      </c>
      <c r="F37" t="s">
        <v>87</v>
      </c>
      <c r="G37" t="s">
        <v>34</v>
      </c>
      <c r="H37" s="2">
        <v>0.4861111111111111</v>
      </c>
      <c r="I37">
        <v>20.95</v>
      </c>
      <c r="J37">
        <v>77.900000000000006</v>
      </c>
      <c r="K37">
        <v>6.84</v>
      </c>
      <c r="L37">
        <v>5042</v>
      </c>
      <c r="M37">
        <v>3277.9430000000002</v>
      </c>
      <c r="N37">
        <v>2.72</v>
      </c>
      <c r="O37">
        <v>5.98</v>
      </c>
      <c r="P37">
        <v>42.03</v>
      </c>
      <c r="Q37">
        <v>-1.01</v>
      </c>
      <c r="R37">
        <v>22.72</v>
      </c>
      <c r="S37">
        <v>130.24</v>
      </c>
      <c r="T37">
        <v>2</v>
      </c>
      <c r="U37">
        <v>677325</v>
      </c>
      <c r="V37">
        <v>677774</v>
      </c>
      <c r="W37">
        <f t="shared" si="1"/>
        <v>449</v>
      </c>
      <c r="X37" t="s">
        <v>88</v>
      </c>
      <c r="Z37" s="1">
        <v>46198</v>
      </c>
      <c r="AA37" t="s">
        <v>37</v>
      </c>
      <c r="AB37" s="1">
        <v>46217</v>
      </c>
      <c r="AC37" t="s">
        <v>89</v>
      </c>
    </row>
    <row r="38" spans="2:29" x14ac:dyDescent="0.35">
      <c r="B38" s="1">
        <v>46197</v>
      </c>
      <c r="C38" t="s">
        <v>30</v>
      </c>
      <c r="D38" t="s">
        <v>85</v>
      </c>
      <c r="E38" t="s">
        <v>86</v>
      </c>
      <c r="F38" t="s">
        <v>87</v>
      </c>
      <c r="G38" t="s">
        <v>38</v>
      </c>
      <c r="H38" s="2">
        <v>0.49027777777777776</v>
      </c>
      <c r="I38">
        <v>21.123000000000001</v>
      </c>
      <c r="J38">
        <v>79.599999999999994</v>
      </c>
      <c r="K38">
        <v>6.95</v>
      </c>
      <c r="L38">
        <v>5044</v>
      </c>
      <c r="M38">
        <v>3278.154</v>
      </c>
      <c r="N38">
        <v>2.72</v>
      </c>
      <c r="O38">
        <v>6.02</v>
      </c>
      <c r="P38">
        <v>49.14</v>
      </c>
      <c r="Q38">
        <v>-0.91</v>
      </c>
      <c r="R38">
        <v>18.440000000000001</v>
      </c>
      <c r="S38">
        <v>124.59</v>
      </c>
      <c r="T38">
        <v>2</v>
      </c>
      <c r="U38">
        <v>677780</v>
      </c>
      <c r="V38">
        <v>678114</v>
      </c>
      <c r="W38">
        <f t="shared" si="1"/>
        <v>334</v>
      </c>
      <c r="X38" t="s">
        <v>90</v>
      </c>
      <c r="Z38" s="1">
        <v>46198</v>
      </c>
      <c r="AA38" t="s">
        <v>37</v>
      </c>
      <c r="AB38" s="1">
        <v>46217</v>
      </c>
      <c r="AC38" t="s">
        <v>89</v>
      </c>
    </row>
    <row r="39" spans="2:29" x14ac:dyDescent="0.35">
      <c r="B39" s="1">
        <v>46197</v>
      </c>
      <c r="C39" t="s">
        <v>30</v>
      </c>
      <c r="D39" t="s">
        <v>85</v>
      </c>
      <c r="E39" t="s">
        <v>86</v>
      </c>
      <c r="F39" t="s">
        <v>87</v>
      </c>
      <c r="G39" t="s">
        <v>41</v>
      </c>
      <c r="H39" s="2">
        <v>0.49861111111111112</v>
      </c>
      <c r="I39">
        <v>21.06</v>
      </c>
      <c r="J39">
        <v>82.3</v>
      </c>
      <c r="K39">
        <v>7.13</v>
      </c>
      <c r="L39">
        <v>5036</v>
      </c>
      <c r="M39">
        <v>3273.895</v>
      </c>
      <c r="N39">
        <v>2.71</v>
      </c>
      <c r="O39">
        <v>6</v>
      </c>
      <c r="P39">
        <v>39.54</v>
      </c>
      <c r="Q39">
        <v>-1.03</v>
      </c>
      <c r="R39">
        <v>18.440000000000001</v>
      </c>
      <c r="S39">
        <v>129.41999999999999</v>
      </c>
      <c r="T39">
        <v>2</v>
      </c>
      <c r="U39">
        <v>678378</v>
      </c>
      <c r="V39">
        <v>678711</v>
      </c>
      <c r="W39">
        <f t="shared" si="1"/>
        <v>333</v>
      </c>
      <c r="X39" t="s">
        <v>91</v>
      </c>
      <c r="Z39" s="1">
        <v>46198</v>
      </c>
      <c r="AA39" t="s">
        <v>37</v>
      </c>
      <c r="AB39" s="1">
        <v>46217</v>
      </c>
      <c r="AC39" t="s">
        <v>89</v>
      </c>
    </row>
    <row r="40" spans="2:29" x14ac:dyDescent="0.35">
      <c r="B40" s="1">
        <v>46197</v>
      </c>
      <c r="C40" t="s">
        <v>30</v>
      </c>
      <c r="D40" t="s">
        <v>85</v>
      </c>
      <c r="E40" t="s">
        <v>86</v>
      </c>
      <c r="F40" t="s">
        <v>87</v>
      </c>
      <c r="G40" t="s">
        <v>43</v>
      </c>
      <c r="H40" s="2">
        <v>0.50277777777777777</v>
      </c>
      <c r="I40">
        <v>21.05</v>
      </c>
      <c r="J40">
        <v>79.099999999999994</v>
      </c>
      <c r="K40">
        <v>6.92</v>
      </c>
      <c r="L40">
        <v>5039</v>
      </c>
      <c r="M40">
        <v>3275.8110000000001</v>
      </c>
      <c r="N40">
        <v>2.71</v>
      </c>
      <c r="O40">
        <v>6.12</v>
      </c>
      <c r="P40">
        <v>38.54</v>
      </c>
      <c r="Q40">
        <v>-1.03</v>
      </c>
      <c r="R40">
        <v>22.33</v>
      </c>
      <c r="S40">
        <v>129.78</v>
      </c>
      <c r="T40">
        <v>3</v>
      </c>
      <c r="U40">
        <v>678748</v>
      </c>
      <c r="V40">
        <v>679207</v>
      </c>
      <c r="W40">
        <f t="shared" si="1"/>
        <v>459</v>
      </c>
      <c r="X40" t="s">
        <v>92</v>
      </c>
      <c r="Z40" s="1">
        <v>46198</v>
      </c>
      <c r="AA40" t="s">
        <v>37</v>
      </c>
      <c r="AB40" s="1">
        <v>46217</v>
      </c>
      <c r="AC40" t="s">
        <v>89</v>
      </c>
    </row>
    <row r="41" spans="2:29" x14ac:dyDescent="0.35">
      <c r="B41" s="1">
        <v>46197</v>
      </c>
      <c r="C41" t="s">
        <v>30</v>
      </c>
      <c r="D41" t="s">
        <v>85</v>
      </c>
      <c r="E41" t="s">
        <v>86</v>
      </c>
      <c r="F41" t="s">
        <v>87</v>
      </c>
      <c r="G41" t="s">
        <v>45</v>
      </c>
      <c r="H41" s="2">
        <v>0.50694444444444442</v>
      </c>
      <c r="I41">
        <v>21.44</v>
      </c>
      <c r="J41">
        <v>86.6</v>
      </c>
      <c r="K41">
        <v>7.45</v>
      </c>
      <c r="L41">
        <v>5031</v>
      </c>
      <c r="M41">
        <v>3270.078</v>
      </c>
      <c r="N41">
        <v>2.71</v>
      </c>
      <c r="O41">
        <v>6.1</v>
      </c>
      <c r="P41">
        <v>34.380000000000003</v>
      </c>
      <c r="Q41">
        <v>-1.24</v>
      </c>
      <c r="R41">
        <v>18.5</v>
      </c>
      <c r="S41">
        <v>125.53</v>
      </c>
      <c r="T41">
        <v>3</v>
      </c>
      <c r="U41">
        <v>679263</v>
      </c>
      <c r="V41">
        <v>679729</v>
      </c>
      <c r="W41">
        <f t="shared" ref="W41:W71" si="2">V41-U41</f>
        <v>466</v>
      </c>
      <c r="X41" t="s">
        <v>93</v>
      </c>
      <c r="Z41" s="1">
        <v>46198</v>
      </c>
      <c r="AA41" t="s">
        <v>37</v>
      </c>
      <c r="AB41" s="1">
        <v>46217</v>
      </c>
      <c r="AC41" t="s">
        <v>89</v>
      </c>
    </row>
    <row r="42" spans="2:29" x14ac:dyDescent="0.35">
      <c r="B42" s="1">
        <v>46197</v>
      </c>
      <c r="C42" t="s">
        <v>30</v>
      </c>
      <c r="D42" t="s">
        <v>85</v>
      </c>
      <c r="E42" t="s">
        <v>86</v>
      </c>
      <c r="F42" t="s">
        <v>79</v>
      </c>
      <c r="G42" t="s">
        <v>34</v>
      </c>
      <c r="H42" s="2">
        <v>0.53263888888888888</v>
      </c>
      <c r="I42">
        <v>21.030999999999999</v>
      </c>
      <c r="J42">
        <v>75.5</v>
      </c>
      <c r="K42">
        <v>6.61</v>
      </c>
      <c r="L42">
        <v>5196</v>
      </c>
      <c r="M42">
        <v>3377.3330000000001</v>
      </c>
      <c r="N42">
        <v>2.8</v>
      </c>
      <c r="O42">
        <v>5.91</v>
      </c>
      <c r="P42">
        <v>36.11</v>
      </c>
      <c r="Q42">
        <v>-1.94</v>
      </c>
      <c r="R42">
        <v>6.92</v>
      </c>
      <c r="S42">
        <v>107.39</v>
      </c>
      <c r="T42">
        <v>1</v>
      </c>
      <c r="U42">
        <v>679776</v>
      </c>
      <c r="V42">
        <v>680179</v>
      </c>
      <c r="W42">
        <f t="shared" si="2"/>
        <v>403</v>
      </c>
      <c r="X42" t="s">
        <v>94</v>
      </c>
      <c r="Z42" s="1">
        <v>46198</v>
      </c>
      <c r="AA42" t="s">
        <v>37</v>
      </c>
      <c r="AB42" s="1">
        <v>46217</v>
      </c>
      <c r="AC42" t="s">
        <v>89</v>
      </c>
    </row>
    <row r="43" spans="2:29" x14ac:dyDescent="0.35">
      <c r="B43" s="1">
        <v>46197</v>
      </c>
      <c r="C43" t="s">
        <v>30</v>
      </c>
      <c r="D43" t="s">
        <v>85</v>
      </c>
      <c r="E43" t="s">
        <v>86</v>
      </c>
      <c r="F43" t="s">
        <v>79</v>
      </c>
      <c r="G43" t="s">
        <v>38</v>
      </c>
      <c r="H43" s="2">
        <v>0.55069444444444449</v>
      </c>
      <c r="I43">
        <v>20.67</v>
      </c>
      <c r="J43">
        <v>96.7</v>
      </c>
      <c r="K43">
        <v>8.51</v>
      </c>
      <c r="L43">
        <v>6133</v>
      </c>
      <c r="M43">
        <v>3986.944</v>
      </c>
      <c r="N43">
        <v>3.35</v>
      </c>
      <c r="O43">
        <v>2.88</v>
      </c>
      <c r="P43">
        <v>31.07</v>
      </c>
      <c r="Q43">
        <v>-0.54</v>
      </c>
      <c r="R43">
        <v>31.38</v>
      </c>
      <c r="S43">
        <v>67.36</v>
      </c>
      <c r="T43">
        <v>1</v>
      </c>
      <c r="U43">
        <v>680173</v>
      </c>
      <c r="V43">
        <v>680491</v>
      </c>
      <c r="W43">
        <f t="shared" si="2"/>
        <v>318</v>
      </c>
      <c r="X43" t="s">
        <v>95</v>
      </c>
      <c r="Z43" s="1">
        <v>46198</v>
      </c>
      <c r="AA43" t="s">
        <v>37</v>
      </c>
      <c r="AB43" s="1">
        <v>46217</v>
      </c>
      <c r="AC43" t="s">
        <v>89</v>
      </c>
    </row>
    <row r="44" spans="2:29" x14ac:dyDescent="0.35">
      <c r="B44" s="1">
        <v>46197</v>
      </c>
      <c r="C44" t="s">
        <v>30</v>
      </c>
      <c r="D44" t="s">
        <v>85</v>
      </c>
      <c r="E44" t="s">
        <v>86</v>
      </c>
      <c r="F44" t="s">
        <v>79</v>
      </c>
      <c r="G44" t="s">
        <v>41</v>
      </c>
      <c r="H44" s="2">
        <v>0.55902777777777779</v>
      </c>
      <c r="I44">
        <v>21.1</v>
      </c>
      <c r="J44">
        <v>86.3</v>
      </c>
      <c r="K44">
        <v>7.55</v>
      </c>
      <c r="L44">
        <v>5222</v>
      </c>
      <c r="M44">
        <v>3394.143</v>
      </c>
      <c r="N44">
        <v>2.82</v>
      </c>
      <c r="O44">
        <v>6.14</v>
      </c>
      <c r="P44">
        <v>19.34</v>
      </c>
      <c r="Q44">
        <v>-2.06</v>
      </c>
      <c r="R44">
        <v>4.38</v>
      </c>
      <c r="S44">
        <v>100.22</v>
      </c>
      <c r="T44">
        <v>1</v>
      </c>
      <c r="U44">
        <v>680509</v>
      </c>
      <c r="V44">
        <v>680833</v>
      </c>
      <c r="W44">
        <f t="shared" si="2"/>
        <v>324</v>
      </c>
      <c r="X44" t="s">
        <v>96</v>
      </c>
      <c r="Z44" s="1">
        <v>46198</v>
      </c>
      <c r="AA44" t="s">
        <v>37</v>
      </c>
      <c r="AB44" s="1">
        <v>46217</v>
      </c>
      <c r="AC44" t="s">
        <v>89</v>
      </c>
    </row>
    <row r="45" spans="2:29" x14ac:dyDescent="0.35">
      <c r="B45" s="1">
        <v>46197</v>
      </c>
      <c r="C45" t="s">
        <v>30</v>
      </c>
      <c r="D45" t="s">
        <v>85</v>
      </c>
      <c r="E45" t="s">
        <v>86</v>
      </c>
      <c r="F45" t="s">
        <v>79</v>
      </c>
      <c r="G45" t="s">
        <v>43</v>
      </c>
      <c r="H45" s="2">
        <v>0.56388888888888888</v>
      </c>
      <c r="I45">
        <v>21.065999999999999</v>
      </c>
      <c r="J45">
        <v>86.4</v>
      </c>
      <c r="K45">
        <v>7.57</v>
      </c>
      <c r="L45">
        <v>5203</v>
      </c>
      <c r="M45">
        <v>3381.1210000000001</v>
      </c>
      <c r="N45">
        <v>2.81</v>
      </c>
      <c r="O45">
        <v>6.1</v>
      </c>
      <c r="P45">
        <v>19.18</v>
      </c>
      <c r="Q45">
        <v>-2.06</v>
      </c>
      <c r="R45">
        <v>3.81</v>
      </c>
      <c r="S45">
        <v>98.72</v>
      </c>
      <c r="T45">
        <v>1</v>
      </c>
      <c r="U45">
        <v>680849</v>
      </c>
      <c r="V45">
        <v>681060</v>
      </c>
      <c r="W45">
        <f t="shared" si="2"/>
        <v>211</v>
      </c>
      <c r="X45" t="s">
        <v>97</v>
      </c>
      <c r="Z45" s="1">
        <v>46198</v>
      </c>
      <c r="AA45" t="s">
        <v>37</v>
      </c>
      <c r="AB45" s="1">
        <v>46217</v>
      </c>
      <c r="AC45" t="s">
        <v>89</v>
      </c>
    </row>
    <row r="46" spans="2:29" x14ac:dyDescent="0.35">
      <c r="B46" s="1">
        <v>46197</v>
      </c>
      <c r="C46" t="s">
        <v>30</v>
      </c>
      <c r="D46" t="s">
        <v>85</v>
      </c>
      <c r="E46" t="s">
        <v>86</v>
      </c>
      <c r="F46" t="s">
        <v>79</v>
      </c>
      <c r="G46" t="s">
        <v>45</v>
      </c>
      <c r="H46" s="2">
        <v>0.56944444444444442</v>
      </c>
      <c r="I46">
        <v>21.231000000000002</v>
      </c>
      <c r="J46">
        <v>88</v>
      </c>
      <c r="K46">
        <v>7.68</v>
      </c>
      <c r="L46">
        <v>5123</v>
      </c>
      <c r="M46">
        <v>3329.049</v>
      </c>
      <c r="N46">
        <v>2.76</v>
      </c>
      <c r="O46">
        <v>6.12</v>
      </c>
      <c r="P46">
        <v>17.97</v>
      </c>
      <c r="Q46">
        <v>-2.12</v>
      </c>
      <c r="R46">
        <v>3.3</v>
      </c>
      <c r="S46">
        <v>88.59</v>
      </c>
      <c r="T46">
        <v>1</v>
      </c>
      <c r="U46">
        <v>681050</v>
      </c>
      <c r="V46">
        <v>681327</v>
      </c>
      <c r="W46">
        <f t="shared" si="2"/>
        <v>277</v>
      </c>
      <c r="X46" t="s">
        <v>98</v>
      </c>
      <c r="Z46" s="1">
        <v>46198</v>
      </c>
      <c r="AA46" t="s">
        <v>37</v>
      </c>
      <c r="AB46" s="1">
        <v>46217</v>
      </c>
      <c r="AC46" t="s">
        <v>89</v>
      </c>
    </row>
    <row r="47" spans="2:29" x14ac:dyDescent="0.35">
      <c r="B47" s="1">
        <v>46204</v>
      </c>
      <c r="C47" t="s">
        <v>30</v>
      </c>
      <c r="D47" t="s">
        <v>99</v>
      </c>
      <c r="E47" t="s">
        <v>100</v>
      </c>
      <c r="F47" t="s">
        <v>79</v>
      </c>
      <c r="G47" t="s">
        <v>38</v>
      </c>
      <c r="H47" s="2">
        <v>0.60416666666666663</v>
      </c>
      <c r="I47">
        <v>23.59</v>
      </c>
      <c r="J47">
        <v>15.9</v>
      </c>
      <c r="K47">
        <v>12.64</v>
      </c>
      <c r="L47">
        <v>7595</v>
      </c>
      <c r="M47">
        <v>4938.0600000000004</v>
      </c>
      <c r="N47">
        <v>4.1900000000000004</v>
      </c>
      <c r="O47">
        <v>6.92</v>
      </c>
      <c r="P47">
        <v>35.159999999999997</v>
      </c>
      <c r="Q47">
        <v>-2.64</v>
      </c>
      <c r="R47">
        <v>128.01</v>
      </c>
      <c r="S47">
        <v>50.44</v>
      </c>
      <c r="T47">
        <v>1</v>
      </c>
      <c r="U47">
        <v>681435</v>
      </c>
      <c r="V47">
        <v>681743</v>
      </c>
      <c r="W47">
        <f t="shared" si="2"/>
        <v>308</v>
      </c>
      <c r="X47" t="s">
        <v>101</v>
      </c>
      <c r="Z47" s="1">
        <v>46210</v>
      </c>
      <c r="AA47" t="s">
        <v>37</v>
      </c>
      <c r="AB47" s="1">
        <v>46217</v>
      </c>
      <c r="AC47" t="s">
        <v>89</v>
      </c>
    </row>
    <row r="48" spans="2:29" x14ac:dyDescent="0.35">
      <c r="B48" s="1">
        <v>46204</v>
      </c>
      <c r="C48" t="s">
        <v>30</v>
      </c>
      <c r="D48" t="s">
        <v>99</v>
      </c>
      <c r="E48" t="s">
        <v>100</v>
      </c>
      <c r="F48" t="s">
        <v>79</v>
      </c>
      <c r="G48" t="s">
        <v>34</v>
      </c>
      <c r="H48" s="2">
        <v>0.62847222222222221</v>
      </c>
      <c r="I48">
        <v>23.556000000000001</v>
      </c>
      <c r="J48">
        <v>66.2</v>
      </c>
      <c r="K48">
        <v>4.99</v>
      </c>
      <c r="L48">
        <v>5313</v>
      </c>
      <c r="M48">
        <v>3454.5030000000002</v>
      </c>
      <c r="N48">
        <v>2.87</v>
      </c>
      <c r="O48">
        <v>6.04</v>
      </c>
      <c r="P48">
        <v>17.05</v>
      </c>
      <c r="Q48">
        <v>-2.2000000000000002</v>
      </c>
      <c r="R48">
        <v>8.06</v>
      </c>
      <c r="S48">
        <v>120.12</v>
      </c>
      <c r="T48">
        <v>2</v>
      </c>
      <c r="U48">
        <v>681737</v>
      </c>
      <c r="V48">
        <v>682004</v>
      </c>
      <c r="W48">
        <f t="shared" si="2"/>
        <v>267</v>
      </c>
      <c r="X48" t="s">
        <v>102</v>
      </c>
      <c r="Z48" s="1">
        <v>46210</v>
      </c>
      <c r="AA48" t="s">
        <v>37</v>
      </c>
      <c r="AB48" s="1">
        <v>46217</v>
      </c>
      <c r="AC48" t="s">
        <v>89</v>
      </c>
    </row>
    <row r="49" spans="1:29" x14ac:dyDescent="0.35">
      <c r="B49" s="1">
        <v>46204</v>
      </c>
      <c r="C49" t="s">
        <v>30</v>
      </c>
      <c r="D49" t="s">
        <v>99</v>
      </c>
      <c r="E49" t="s">
        <v>100</v>
      </c>
      <c r="F49" t="s">
        <v>79</v>
      </c>
      <c r="G49" t="s">
        <v>41</v>
      </c>
      <c r="H49" s="2">
        <v>0.64652777777777781</v>
      </c>
      <c r="I49">
        <v>22.04</v>
      </c>
      <c r="J49">
        <v>79.3</v>
      </c>
      <c r="K49">
        <v>6.82</v>
      </c>
      <c r="L49">
        <v>5088</v>
      </c>
      <c r="M49">
        <v>3306.1120000000001</v>
      </c>
      <c r="N49">
        <v>2.74</v>
      </c>
      <c r="O49">
        <v>6.17</v>
      </c>
      <c r="P49">
        <v>25.14</v>
      </c>
      <c r="Q49">
        <v>-2.12</v>
      </c>
      <c r="R49">
        <v>5.07</v>
      </c>
      <c r="S49">
        <v>92.94</v>
      </c>
      <c r="T49">
        <v>1</v>
      </c>
      <c r="U49">
        <v>682014</v>
      </c>
      <c r="V49">
        <v>682305</v>
      </c>
      <c r="W49">
        <f t="shared" si="2"/>
        <v>291</v>
      </c>
      <c r="X49" t="s">
        <v>103</v>
      </c>
      <c r="Z49" s="1">
        <v>46210</v>
      </c>
      <c r="AA49" t="s">
        <v>37</v>
      </c>
      <c r="AB49" s="1">
        <v>46217</v>
      </c>
      <c r="AC49" t="s">
        <v>89</v>
      </c>
    </row>
    <row r="50" spans="1:29" x14ac:dyDescent="0.35">
      <c r="B50" s="1">
        <v>46204</v>
      </c>
      <c r="C50" t="s">
        <v>30</v>
      </c>
      <c r="D50" t="s">
        <v>99</v>
      </c>
      <c r="E50" t="s">
        <v>100</v>
      </c>
      <c r="F50" t="s">
        <v>79</v>
      </c>
      <c r="G50" t="s">
        <v>43</v>
      </c>
      <c r="H50" s="2">
        <v>0.65138888888888891</v>
      </c>
      <c r="I50">
        <v>21.884</v>
      </c>
      <c r="J50">
        <v>79.3</v>
      </c>
      <c r="K50">
        <v>6.83</v>
      </c>
      <c r="L50">
        <v>5078</v>
      </c>
      <c r="M50">
        <v>3300.6869999999999</v>
      </c>
      <c r="N50">
        <v>2.73</v>
      </c>
      <c r="O50">
        <v>6.18</v>
      </c>
      <c r="P50">
        <v>26.58</v>
      </c>
      <c r="Q50">
        <v>-2.12</v>
      </c>
      <c r="R50">
        <v>4.33</v>
      </c>
      <c r="S50">
        <v>92.35</v>
      </c>
      <c r="T50">
        <v>1</v>
      </c>
      <c r="U50">
        <v>682296</v>
      </c>
      <c r="V50">
        <v>682697</v>
      </c>
      <c r="W50">
        <f t="shared" si="2"/>
        <v>401</v>
      </c>
      <c r="X50" t="s">
        <v>104</v>
      </c>
      <c r="Z50" s="1">
        <v>46210</v>
      </c>
      <c r="AA50" t="s">
        <v>37</v>
      </c>
      <c r="AB50" s="1">
        <v>46217</v>
      </c>
      <c r="AC50" t="s">
        <v>89</v>
      </c>
    </row>
    <row r="51" spans="1:29" x14ac:dyDescent="0.35">
      <c r="B51" s="1">
        <v>46204</v>
      </c>
      <c r="C51" t="s">
        <v>30</v>
      </c>
      <c r="D51" t="s">
        <v>99</v>
      </c>
      <c r="E51" t="s">
        <v>100</v>
      </c>
      <c r="F51" t="s">
        <v>79</v>
      </c>
      <c r="G51" t="s">
        <v>45</v>
      </c>
      <c r="H51" s="2">
        <v>0.65555555555555556</v>
      </c>
      <c r="I51">
        <v>21.762</v>
      </c>
      <c r="J51">
        <v>78.8</v>
      </c>
      <c r="K51">
        <v>6.81</v>
      </c>
      <c r="L51">
        <v>5000</v>
      </c>
      <c r="M51">
        <v>3245.9479999999999</v>
      </c>
      <c r="N51">
        <v>2.68</v>
      </c>
      <c r="O51">
        <v>6.13</v>
      </c>
      <c r="P51">
        <v>26.12</v>
      </c>
      <c r="Q51">
        <v>-2.13</v>
      </c>
      <c r="R51">
        <v>3.87</v>
      </c>
      <c r="S51">
        <v>90.03</v>
      </c>
      <c r="T51">
        <v>1</v>
      </c>
      <c r="U51">
        <v>682704</v>
      </c>
      <c r="V51">
        <v>683063</v>
      </c>
      <c r="W51">
        <f t="shared" si="2"/>
        <v>359</v>
      </c>
      <c r="X51" t="s">
        <v>105</v>
      </c>
      <c r="Z51" s="1">
        <v>46210</v>
      </c>
      <c r="AA51" t="s">
        <v>37</v>
      </c>
      <c r="AB51" s="1">
        <v>46217</v>
      </c>
      <c r="AC51" t="s">
        <v>89</v>
      </c>
    </row>
    <row r="52" spans="1:29" x14ac:dyDescent="0.35">
      <c r="A52" t="s">
        <v>106</v>
      </c>
      <c r="B52" s="1">
        <v>46204</v>
      </c>
      <c r="C52" t="s">
        <v>30</v>
      </c>
      <c r="D52" t="s">
        <v>99</v>
      </c>
      <c r="E52" t="s">
        <v>100</v>
      </c>
      <c r="F52" t="s">
        <v>87</v>
      </c>
      <c r="G52" t="s">
        <v>34</v>
      </c>
      <c r="H52" s="2">
        <v>0.66805555555555551</v>
      </c>
      <c r="I52">
        <v>25.561</v>
      </c>
      <c r="J52">
        <v>111.5</v>
      </c>
      <c r="K52">
        <v>8.9600000000000009</v>
      </c>
      <c r="L52">
        <v>6076</v>
      </c>
      <c r="M52">
        <v>3949.9810000000002</v>
      </c>
      <c r="N52">
        <v>3.3</v>
      </c>
      <c r="O52">
        <v>6.12</v>
      </c>
      <c r="P52">
        <v>11.69</v>
      </c>
      <c r="Q52">
        <v>-1.41</v>
      </c>
      <c r="R52">
        <v>26.72</v>
      </c>
      <c r="S52">
        <v>148.88</v>
      </c>
      <c r="T52">
        <v>2</v>
      </c>
      <c r="U52">
        <v>683060</v>
      </c>
      <c r="V52">
        <v>683358</v>
      </c>
      <c r="W52">
        <f t="shared" si="2"/>
        <v>298</v>
      </c>
      <c r="X52" t="s">
        <v>107</v>
      </c>
      <c r="Z52" s="1">
        <v>46210</v>
      </c>
      <c r="AA52" t="s">
        <v>37</v>
      </c>
      <c r="AB52" s="1">
        <v>46217</v>
      </c>
      <c r="AC52" t="s">
        <v>89</v>
      </c>
    </row>
    <row r="53" spans="1:29" x14ac:dyDescent="0.35">
      <c r="A53" t="s">
        <v>108</v>
      </c>
      <c r="B53" s="1">
        <v>46204</v>
      </c>
      <c r="C53" t="s">
        <v>30</v>
      </c>
      <c r="D53" t="s">
        <v>99</v>
      </c>
      <c r="E53" t="s">
        <v>100</v>
      </c>
      <c r="F53" t="s">
        <v>87</v>
      </c>
      <c r="G53" t="s">
        <v>38</v>
      </c>
      <c r="H53" s="2">
        <v>0.67638888888888893</v>
      </c>
      <c r="I53">
        <v>25.404</v>
      </c>
      <c r="J53">
        <v>119.1</v>
      </c>
      <c r="K53">
        <v>9.59</v>
      </c>
      <c r="L53">
        <v>6109</v>
      </c>
      <c r="M53">
        <v>3970.42</v>
      </c>
      <c r="N53">
        <v>3.32</v>
      </c>
      <c r="O53">
        <v>6.14</v>
      </c>
      <c r="P53">
        <v>14.63</v>
      </c>
      <c r="Q53">
        <v>-1.21</v>
      </c>
      <c r="R53">
        <v>29.81</v>
      </c>
      <c r="S53">
        <v>150.02000000000001</v>
      </c>
      <c r="T53">
        <v>2</v>
      </c>
      <c r="U53">
        <v>683361</v>
      </c>
      <c r="V53">
        <v>683559</v>
      </c>
      <c r="W53">
        <f t="shared" si="2"/>
        <v>198</v>
      </c>
      <c r="X53" t="s">
        <v>109</v>
      </c>
      <c r="Z53" s="1">
        <v>46210</v>
      </c>
      <c r="AA53" t="s">
        <v>37</v>
      </c>
      <c r="AB53" s="1">
        <v>46217</v>
      </c>
      <c r="AC53" t="s">
        <v>89</v>
      </c>
    </row>
    <row r="54" spans="1:29" x14ac:dyDescent="0.35">
      <c r="A54" t="s">
        <v>110</v>
      </c>
      <c r="B54" s="1">
        <v>46204</v>
      </c>
      <c r="C54" t="s">
        <v>30</v>
      </c>
      <c r="D54" t="s">
        <v>99</v>
      </c>
      <c r="E54" t="s">
        <v>100</v>
      </c>
      <c r="F54" t="s">
        <v>87</v>
      </c>
      <c r="G54" t="s">
        <v>41</v>
      </c>
      <c r="H54" s="2">
        <v>0.68333333333333335</v>
      </c>
      <c r="I54">
        <v>24.395</v>
      </c>
      <c r="J54">
        <v>80.099999999999994</v>
      </c>
      <c r="K54">
        <v>6.58</v>
      </c>
      <c r="L54">
        <v>5767</v>
      </c>
      <c r="M54">
        <v>3748.4409999999998</v>
      </c>
      <c r="N54">
        <v>3.12</v>
      </c>
      <c r="O54">
        <v>5.92</v>
      </c>
      <c r="P54">
        <v>32.270000000000003</v>
      </c>
      <c r="Q54">
        <v>-1.17</v>
      </c>
      <c r="R54">
        <v>38.799999999999997</v>
      </c>
      <c r="S54">
        <v>126.991</v>
      </c>
      <c r="T54">
        <v>3</v>
      </c>
      <c r="U54">
        <v>683565</v>
      </c>
      <c r="V54">
        <v>683747</v>
      </c>
      <c r="W54">
        <f t="shared" si="2"/>
        <v>182</v>
      </c>
      <c r="X54" t="s">
        <v>111</v>
      </c>
      <c r="Z54" s="1">
        <v>46210</v>
      </c>
      <c r="AA54" t="s">
        <v>37</v>
      </c>
      <c r="AB54" s="1">
        <v>46217</v>
      </c>
      <c r="AC54" t="s">
        <v>89</v>
      </c>
    </row>
    <row r="55" spans="1:29" x14ac:dyDescent="0.35">
      <c r="B55" s="1">
        <v>46204</v>
      </c>
      <c r="C55" t="s">
        <v>30</v>
      </c>
      <c r="D55" t="s">
        <v>99</v>
      </c>
      <c r="E55" t="s">
        <v>100</v>
      </c>
      <c r="F55" t="s">
        <v>87</v>
      </c>
      <c r="G55" t="s">
        <v>43</v>
      </c>
      <c r="H55" s="2">
        <v>0.68888888888888888</v>
      </c>
      <c r="I55">
        <v>24.494</v>
      </c>
      <c r="J55">
        <v>87</v>
      </c>
      <c r="K55">
        <v>7.12</v>
      </c>
      <c r="L55">
        <v>5744</v>
      </c>
      <c r="M55">
        <v>3733.9839999999999</v>
      </c>
      <c r="N55">
        <v>3.11</v>
      </c>
      <c r="O55">
        <v>6</v>
      </c>
      <c r="P55">
        <v>24</v>
      </c>
      <c r="Q55">
        <v>-1.25</v>
      </c>
      <c r="R55">
        <v>38.01</v>
      </c>
      <c r="S55">
        <v>129.57</v>
      </c>
      <c r="T55">
        <v>3</v>
      </c>
      <c r="U55">
        <v>683757</v>
      </c>
      <c r="V55">
        <v>684104</v>
      </c>
      <c r="W55">
        <f t="shared" si="2"/>
        <v>347</v>
      </c>
      <c r="X55" t="s">
        <v>112</v>
      </c>
      <c r="Z55" s="1">
        <v>46210</v>
      </c>
      <c r="AA55" t="s">
        <v>37</v>
      </c>
      <c r="AB55" s="1">
        <v>46217</v>
      </c>
      <c r="AC55" t="s">
        <v>89</v>
      </c>
    </row>
    <row r="56" spans="1:29" x14ac:dyDescent="0.35">
      <c r="A56" t="s">
        <v>113</v>
      </c>
      <c r="B56" s="1">
        <v>46204</v>
      </c>
      <c r="C56" t="s">
        <v>30</v>
      </c>
      <c r="D56" t="s">
        <v>99</v>
      </c>
      <c r="E56" t="s">
        <v>100</v>
      </c>
      <c r="F56" t="s">
        <v>87</v>
      </c>
      <c r="G56" t="s">
        <v>45</v>
      </c>
      <c r="H56" s="2">
        <v>0.69305555555555554</v>
      </c>
      <c r="I56">
        <v>24.222999999999999</v>
      </c>
      <c r="J56">
        <v>88.8</v>
      </c>
      <c r="K56">
        <v>7.3</v>
      </c>
      <c r="L56">
        <v>5674</v>
      </c>
      <c r="M56">
        <v>3687.4720000000002</v>
      </c>
      <c r="N56">
        <v>3.07</v>
      </c>
      <c r="O56">
        <v>5.94</v>
      </c>
      <c r="P56">
        <v>22.64</v>
      </c>
      <c r="Q56">
        <v>-1.38</v>
      </c>
      <c r="R56">
        <v>29.03</v>
      </c>
      <c r="S56">
        <v>122.85</v>
      </c>
      <c r="T56">
        <v>4</v>
      </c>
      <c r="U56">
        <v>684187</v>
      </c>
      <c r="V56">
        <v>684426</v>
      </c>
      <c r="W56">
        <f t="shared" si="2"/>
        <v>239</v>
      </c>
      <c r="X56" t="s">
        <v>114</v>
      </c>
      <c r="Z56" s="1">
        <v>46210</v>
      </c>
      <c r="AA56" t="s">
        <v>37</v>
      </c>
      <c r="AB56" s="1">
        <v>46217</v>
      </c>
      <c r="AC56" t="s">
        <v>89</v>
      </c>
    </row>
    <row r="57" spans="1:29" x14ac:dyDescent="0.35">
      <c r="B57" s="1">
        <v>46211</v>
      </c>
      <c r="C57" t="s">
        <v>30</v>
      </c>
      <c r="D57" t="s">
        <v>31</v>
      </c>
      <c r="E57" t="s">
        <v>115</v>
      </c>
      <c r="F57" t="s">
        <v>79</v>
      </c>
      <c r="G57" t="s">
        <v>34</v>
      </c>
      <c r="H57" s="2">
        <v>0.51944444444444449</v>
      </c>
      <c r="I57">
        <v>20.577000000000002</v>
      </c>
      <c r="J57">
        <v>60</v>
      </c>
      <c r="K57">
        <v>5.3</v>
      </c>
      <c r="L57">
        <v>3887</v>
      </c>
      <c r="M57">
        <v>2527.6729999999998</v>
      </c>
      <c r="N57">
        <v>2.06</v>
      </c>
      <c r="O57">
        <v>6.26</v>
      </c>
      <c r="P57">
        <v>21.97</v>
      </c>
      <c r="Q57">
        <v>-1.97</v>
      </c>
      <c r="R57">
        <v>5.77</v>
      </c>
      <c r="S57">
        <v>92.86</v>
      </c>
      <c r="T57">
        <v>1</v>
      </c>
      <c r="U57">
        <v>686261</v>
      </c>
      <c r="V57">
        <v>686719</v>
      </c>
      <c r="W57">
        <f t="shared" si="2"/>
        <v>458</v>
      </c>
      <c r="X57" t="s">
        <v>116</v>
      </c>
      <c r="Z57" s="1">
        <v>46217</v>
      </c>
      <c r="AA57" t="s">
        <v>37</v>
      </c>
      <c r="AB57" s="1">
        <v>46217</v>
      </c>
      <c r="AC57" t="s">
        <v>89</v>
      </c>
    </row>
    <row r="58" spans="1:29" x14ac:dyDescent="0.35">
      <c r="B58" s="1">
        <v>46211</v>
      </c>
      <c r="C58" t="s">
        <v>30</v>
      </c>
      <c r="D58" t="s">
        <v>31</v>
      </c>
      <c r="E58" t="s">
        <v>115</v>
      </c>
      <c r="F58" t="s">
        <v>79</v>
      </c>
      <c r="G58" t="s">
        <v>38</v>
      </c>
      <c r="H58" s="2">
        <v>0.53819444444444442</v>
      </c>
      <c r="I58">
        <v>18.420000000000002</v>
      </c>
      <c r="J58">
        <v>101.4</v>
      </c>
      <c r="K58">
        <v>9.2200000000000006</v>
      </c>
      <c r="L58">
        <v>7990</v>
      </c>
      <c r="M58">
        <v>5192.3159999999998</v>
      </c>
      <c r="N58">
        <v>4.45</v>
      </c>
      <c r="O58">
        <v>2.92</v>
      </c>
      <c r="P58">
        <v>37.33</v>
      </c>
      <c r="Q58">
        <v>2.39</v>
      </c>
      <c r="R58">
        <v>122.69</v>
      </c>
      <c r="S58">
        <v>55.52</v>
      </c>
      <c r="T58">
        <v>4</v>
      </c>
      <c r="U58">
        <v>686746</v>
      </c>
      <c r="V58">
        <v>687095</v>
      </c>
      <c r="W58">
        <f t="shared" si="2"/>
        <v>349</v>
      </c>
      <c r="X58" t="s">
        <v>117</v>
      </c>
      <c r="Z58" s="1">
        <v>46217</v>
      </c>
      <c r="AA58" t="s">
        <v>37</v>
      </c>
      <c r="AB58" s="1">
        <v>46217</v>
      </c>
      <c r="AC58" t="s">
        <v>89</v>
      </c>
    </row>
    <row r="59" spans="1:29" x14ac:dyDescent="0.35">
      <c r="B59" s="1">
        <v>46211</v>
      </c>
      <c r="C59" t="s">
        <v>30</v>
      </c>
      <c r="D59" t="s">
        <v>31</v>
      </c>
      <c r="E59" t="s">
        <v>115</v>
      </c>
      <c r="F59" t="s">
        <v>79</v>
      </c>
      <c r="G59" t="s">
        <v>41</v>
      </c>
      <c r="H59" s="2">
        <v>0.54652777777777772</v>
      </c>
      <c r="I59">
        <v>20.832999999999998</v>
      </c>
      <c r="J59">
        <v>90.7</v>
      </c>
      <c r="K59">
        <v>8.06</v>
      </c>
      <c r="L59">
        <v>2440</v>
      </c>
      <c r="M59">
        <v>1584.6869999999999</v>
      </c>
      <c r="N59">
        <v>1.26</v>
      </c>
      <c r="O59">
        <v>6.58</v>
      </c>
      <c r="P59">
        <v>29.97</v>
      </c>
      <c r="Q59">
        <v>-2.04</v>
      </c>
      <c r="R59">
        <v>4.09</v>
      </c>
      <c r="S59">
        <v>65.709999999999994</v>
      </c>
      <c r="T59">
        <v>2</v>
      </c>
      <c r="U59">
        <v>687110</v>
      </c>
      <c r="V59">
        <v>687432</v>
      </c>
      <c r="W59">
        <f t="shared" si="2"/>
        <v>322</v>
      </c>
      <c r="X59" t="s">
        <v>118</v>
      </c>
      <c r="Z59" s="1">
        <v>46217</v>
      </c>
      <c r="AA59" t="s">
        <v>37</v>
      </c>
      <c r="AB59" s="1">
        <v>46217</v>
      </c>
      <c r="AC59" t="s">
        <v>89</v>
      </c>
    </row>
    <row r="60" spans="1:29" x14ac:dyDescent="0.35">
      <c r="B60" s="1">
        <v>46211</v>
      </c>
      <c r="C60" t="s">
        <v>30</v>
      </c>
      <c r="D60" t="s">
        <v>31</v>
      </c>
      <c r="E60" t="s">
        <v>115</v>
      </c>
      <c r="F60" t="s">
        <v>79</v>
      </c>
      <c r="G60" t="s">
        <v>43</v>
      </c>
      <c r="H60" s="2">
        <v>0.55069444444444449</v>
      </c>
      <c r="I60">
        <v>20.733000000000001</v>
      </c>
      <c r="J60">
        <v>89.3</v>
      </c>
      <c r="K60">
        <v>7.92</v>
      </c>
      <c r="L60">
        <v>2886</v>
      </c>
      <c r="M60">
        <v>1869.297</v>
      </c>
      <c r="N60">
        <v>1.5</v>
      </c>
      <c r="O60">
        <v>7.13</v>
      </c>
      <c r="P60">
        <v>31.67</v>
      </c>
      <c r="Q60">
        <v>-2.0499999999999998</v>
      </c>
      <c r="R60">
        <v>4.7699999999999996</v>
      </c>
      <c r="S60">
        <v>69.510000000000005</v>
      </c>
      <c r="T60">
        <v>1</v>
      </c>
      <c r="U60">
        <v>687459</v>
      </c>
      <c r="V60">
        <v>687683</v>
      </c>
      <c r="W60">
        <f t="shared" si="2"/>
        <v>224</v>
      </c>
      <c r="X60" t="s">
        <v>119</v>
      </c>
      <c r="Z60" s="1">
        <v>46217</v>
      </c>
      <c r="AA60" t="s">
        <v>37</v>
      </c>
      <c r="AB60" s="1">
        <v>46217</v>
      </c>
      <c r="AC60" t="s">
        <v>89</v>
      </c>
    </row>
    <row r="61" spans="1:29" x14ac:dyDescent="0.35">
      <c r="B61" s="1">
        <v>46211</v>
      </c>
      <c r="C61" t="s">
        <v>30</v>
      </c>
      <c r="D61" t="s">
        <v>31</v>
      </c>
      <c r="E61" t="s">
        <v>115</v>
      </c>
      <c r="F61" t="s">
        <v>79</v>
      </c>
      <c r="G61" t="s">
        <v>45</v>
      </c>
      <c r="H61" s="2">
        <v>0.5541666666666667</v>
      </c>
      <c r="I61">
        <v>20.861999999999998</v>
      </c>
      <c r="J61">
        <v>90.2</v>
      </c>
      <c r="K61">
        <v>7.98</v>
      </c>
      <c r="L61">
        <v>2911</v>
      </c>
      <c r="M61">
        <v>1889.241</v>
      </c>
      <c r="N61">
        <v>1.51</v>
      </c>
      <c r="O61">
        <v>6.92</v>
      </c>
      <c r="P61">
        <v>27.06</v>
      </c>
      <c r="Q61">
        <v>-2.02</v>
      </c>
      <c r="R61">
        <v>4.4800000000000004</v>
      </c>
      <c r="S61">
        <v>71.489999999999995</v>
      </c>
      <c r="T61">
        <v>1</v>
      </c>
      <c r="U61">
        <v>687666</v>
      </c>
      <c r="V61">
        <v>688022</v>
      </c>
      <c r="W61">
        <f t="shared" si="2"/>
        <v>356</v>
      </c>
      <c r="X61" t="s">
        <v>120</v>
      </c>
      <c r="Z61" s="1">
        <v>46217</v>
      </c>
      <c r="AA61" t="s">
        <v>37</v>
      </c>
      <c r="AB61" s="1">
        <v>46217</v>
      </c>
      <c r="AC61" t="s">
        <v>89</v>
      </c>
    </row>
    <row r="62" spans="1:29" x14ac:dyDescent="0.35">
      <c r="B62" s="1">
        <v>46211</v>
      </c>
      <c r="C62" t="s">
        <v>30</v>
      </c>
      <c r="D62" t="s">
        <v>31</v>
      </c>
      <c r="E62" t="s">
        <v>115</v>
      </c>
      <c r="F62" t="s">
        <v>87</v>
      </c>
      <c r="G62" t="s">
        <v>34</v>
      </c>
      <c r="H62" s="2">
        <v>0.47430555555555554</v>
      </c>
      <c r="I62">
        <v>18.818999999999999</v>
      </c>
      <c r="J62">
        <v>21.7</v>
      </c>
      <c r="K62">
        <v>1.93</v>
      </c>
      <c r="L62">
        <v>10469</v>
      </c>
      <c r="M62">
        <v>6805.1149999999998</v>
      </c>
      <c r="N62">
        <v>5.95</v>
      </c>
      <c r="O62">
        <v>5.17</v>
      </c>
      <c r="P62">
        <v>35.74</v>
      </c>
      <c r="Q62">
        <v>5.05</v>
      </c>
      <c r="R62">
        <v>209.33</v>
      </c>
      <c r="S62">
        <v>219.41</v>
      </c>
      <c r="T62">
        <v>3</v>
      </c>
      <c r="U62">
        <v>684449</v>
      </c>
      <c r="V62">
        <v>684855</v>
      </c>
      <c r="W62">
        <f t="shared" si="2"/>
        <v>406</v>
      </c>
      <c r="X62" t="s">
        <v>121</v>
      </c>
      <c r="Z62" s="1">
        <v>46217</v>
      </c>
      <c r="AA62" t="s">
        <v>37</v>
      </c>
      <c r="AB62" s="1">
        <v>46217</v>
      </c>
      <c r="AC62" t="s">
        <v>89</v>
      </c>
    </row>
    <row r="63" spans="1:29" x14ac:dyDescent="0.35">
      <c r="B63" s="1">
        <v>46211</v>
      </c>
      <c r="C63" t="s">
        <v>30</v>
      </c>
      <c r="D63" t="s">
        <v>31</v>
      </c>
      <c r="E63" t="s">
        <v>115</v>
      </c>
      <c r="F63" t="s">
        <v>87</v>
      </c>
      <c r="G63" t="s">
        <v>38</v>
      </c>
      <c r="H63" s="2">
        <v>0.47916666666666669</v>
      </c>
      <c r="I63">
        <v>20.649000000000001</v>
      </c>
      <c r="J63">
        <v>92.7</v>
      </c>
      <c r="K63">
        <v>8.02</v>
      </c>
      <c r="L63">
        <v>9433</v>
      </c>
      <c r="M63">
        <v>6124.1980000000003</v>
      </c>
      <c r="N63">
        <v>5.3</v>
      </c>
      <c r="O63">
        <v>6.23</v>
      </c>
      <c r="P63">
        <v>48.33</v>
      </c>
      <c r="Q63">
        <v>2.9</v>
      </c>
      <c r="R63">
        <v>125.95</v>
      </c>
      <c r="S63">
        <v>189.62</v>
      </c>
      <c r="T63">
        <v>2</v>
      </c>
      <c r="U63">
        <v>684877</v>
      </c>
      <c r="V63">
        <v>685306</v>
      </c>
      <c r="W63">
        <f t="shared" si="2"/>
        <v>429</v>
      </c>
      <c r="X63" t="s">
        <v>122</v>
      </c>
      <c r="Z63" s="1">
        <v>46217</v>
      </c>
      <c r="AA63" t="s">
        <v>37</v>
      </c>
      <c r="AB63" s="1">
        <v>46217</v>
      </c>
      <c r="AC63" t="s">
        <v>89</v>
      </c>
    </row>
    <row r="64" spans="1:29" x14ac:dyDescent="0.35">
      <c r="B64" s="1">
        <v>46211</v>
      </c>
      <c r="C64" t="s">
        <v>30</v>
      </c>
      <c r="D64" t="s">
        <v>31</v>
      </c>
      <c r="E64" t="s">
        <v>115</v>
      </c>
      <c r="F64" t="s">
        <v>87</v>
      </c>
      <c r="G64" t="s">
        <v>41</v>
      </c>
      <c r="H64" s="2">
        <v>0.48472222222222222</v>
      </c>
      <c r="I64">
        <v>20.977</v>
      </c>
      <c r="J64">
        <v>79.5</v>
      </c>
      <c r="K64">
        <v>6.89</v>
      </c>
      <c r="L64">
        <v>5651</v>
      </c>
      <c r="M64">
        <v>3673.6840000000002</v>
      </c>
      <c r="N64">
        <v>3.07</v>
      </c>
      <c r="O64">
        <v>6.85</v>
      </c>
      <c r="P64">
        <v>41.48</v>
      </c>
      <c r="Q64">
        <v>-1.24</v>
      </c>
      <c r="R64">
        <v>20.309999999999999</v>
      </c>
      <c r="S64">
        <v>115.83</v>
      </c>
      <c r="T64">
        <v>2</v>
      </c>
      <c r="U64">
        <v>685346</v>
      </c>
      <c r="V64">
        <v>685635</v>
      </c>
      <c r="W64">
        <f t="shared" si="2"/>
        <v>289</v>
      </c>
      <c r="X64" t="s">
        <v>123</v>
      </c>
      <c r="Z64" s="1">
        <v>46217</v>
      </c>
      <c r="AA64" t="s">
        <v>37</v>
      </c>
      <c r="AB64" s="1">
        <v>46217</v>
      </c>
      <c r="AC64" t="s">
        <v>89</v>
      </c>
    </row>
    <row r="65" spans="1:29" x14ac:dyDescent="0.35">
      <c r="B65" s="1">
        <v>46211</v>
      </c>
      <c r="C65" t="s">
        <v>30</v>
      </c>
      <c r="D65" t="s">
        <v>31</v>
      </c>
      <c r="E65" t="s">
        <v>115</v>
      </c>
      <c r="F65" t="s">
        <v>87</v>
      </c>
      <c r="G65" t="s">
        <v>43</v>
      </c>
      <c r="H65" s="2">
        <v>0.48958333333333331</v>
      </c>
      <c r="I65">
        <v>21.035</v>
      </c>
      <c r="J65">
        <v>76.099999999999994</v>
      </c>
      <c r="K65">
        <v>6.65</v>
      </c>
      <c r="L65">
        <v>5612</v>
      </c>
      <c r="M65">
        <v>3647.328</v>
      </c>
      <c r="N65">
        <v>3.04</v>
      </c>
      <c r="O65">
        <v>7.42</v>
      </c>
      <c r="P65">
        <v>32.94</v>
      </c>
      <c r="Q65">
        <v>-1.28</v>
      </c>
      <c r="R65">
        <v>18.73</v>
      </c>
      <c r="S65">
        <v>121.02</v>
      </c>
      <c r="T65">
        <v>2</v>
      </c>
      <c r="U65">
        <v>685640</v>
      </c>
      <c r="V65">
        <v>685898</v>
      </c>
      <c r="W65">
        <f t="shared" si="2"/>
        <v>258</v>
      </c>
      <c r="X65" t="s">
        <v>124</v>
      </c>
      <c r="Z65" s="1">
        <v>46217</v>
      </c>
      <c r="AA65" t="s">
        <v>37</v>
      </c>
      <c r="AB65" s="1">
        <v>46217</v>
      </c>
      <c r="AC65" t="s">
        <v>89</v>
      </c>
    </row>
    <row r="66" spans="1:29" x14ac:dyDescent="0.35">
      <c r="B66" s="1">
        <v>46211</v>
      </c>
      <c r="C66" t="s">
        <v>30</v>
      </c>
      <c r="D66" t="s">
        <v>31</v>
      </c>
      <c r="E66" t="s">
        <v>115</v>
      </c>
      <c r="F66" t="s">
        <v>87</v>
      </c>
      <c r="G66" t="s">
        <v>45</v>
      </c>
      <c r="H66" s="2">
        <v>0.49444444444444446</v>
      </c>
      <c r="I66">
        <v>21.361999999999998</v>
      </c>
      <c r="J66">
        <v>82.9</v>
      </c>
      <c r="K66">
        <v>7.22</v>
      </c>
      <c r="L66">
        <v>5380</v>
      </c>
      <c r="M66">
        <v>3497.3739999999998</v>
      </c>
      <c r="N66">
        <v>2.91</v>
      </c>
      <c r="O66">
        <v>7.21</v>
      </c>
      <c r="P66">
        <v>28.65</v>
      </c>
      <c r="Q66">
        <v>-1.38</v>
      </c>
      <c r="R66">
        <v>17.04</v>
      </c>
      <c r="S66">
        <v>115.72</v>
      </c>
      <c r="T66">
        <v>2</v>
      </c>
      <c r="U66">
        <v>685905</v>
      </c>
      <c r="V66">
        <v>686265</v>
      </c>
      <c r="W66">
        <f t="shared" si="2"/>
        <v>360</v>
      </c>
      <c r="X66" t="s">
        <v>125</v>
      </c>
      <c r="Z66" s="1">
        <v>46217</v>
      </c>
      <c r="AA66" t="s">
        <v>37</v>
      </c>
      <c r="AB66" s="1">
        <v>46217</v>
      </c>
      <c r="AC66" t="s">
        <v>89</v>
      </c>
    </row>
    <row r="67" spans="1:29" x14ac:dyDescent="0.35">
      <c r="B67" s="1">
        <v>46216</v>
      </c>
      <c r="C67" t="s">
        <v>30</v>
      </c>
      <c r="D67" t="s">
        <v>31</v>
      </c>
      <c r="E67" t="s">
        <v>126</v>
      </c>
      <c r="F67" t="s">
        <v>79</v>
      </c>
      <c r="G67" t="s">
        <v>34</v>
      </c>
      <c r="H67" s="2">
        <v>0.40416666666666667</v>
      </c>
      <c r="I67">
        <v>21.324999999999999</v>
      </c>
      <c r="J67">
        <v>27.7</v>
      </c>
      <c r="K67">
        <v>2.35</v>
      </c>
      <c r="L67">
        <v>3613</v>
      </c>
      <c r="M67">
        <v>2349.42</v>
      </c>
      <c r="N67">
        <v>1.91</v>
      </c>
      <c r="O67">
        <v>5.05</v>
      </c>
      <c r="P67">
        <v>98.04</v>
      </c>
      <c r="Q67">
        <v>-0.66</v>
      </c>
      <c r="R67">
        <v>32.42</v>
      </c>
      <c r="S67">
        <v>97.44</v>
      </c>
      <c r="T67">
        <v>1</v>
      </c>
      <c r="U67">
        <v>688046</v>
      </c>
      <c r="V67">
        <v>688466</v>
      </c>
      <c r="W67">
        <f t="shared" si="2"/>
        <v>420</v>
      </c>
      <c r="X67" t="s">
        <v>127</v>
      </c>
      <c r="Z67" s="1">
        <v>46217</v>
      </c>
      <c r="AA67" t="s">
        <v>37</v>
      </c>
      <c r="AB67" s="1">
        <v>46217</v>
      </c>
      <c r="AC67" t="s">
        <v>89</v>
      </c>
    </row>
    <row r="68" spans="1:29" x14ac:dyDescent="0.35">
      <c r="B68" s="1">
        <v>46216</v>
      </c>
      <c r="C68" t="s">
        <v>30</v>
      </c>
      <c r="D68" t="s">
        <v>31</v>
      </c>
      <c r="E68" t="s">
        <v>126</v>
      </c>
      <c r="F68" t="s">
        <v>79</v>
      </c>
      <c r="G68" t="s">
        <v>38</v>
      </c>
      <c r="H68" s="2">
        <v>0.43611111111111112</v>
      </c>
      <c r="I68">
        <v>21.88</v>
      </c>
      <c r="J68">
        <v>91.8</v>
      </c>
      <c r="K68">
        <v>7.87</v>
      </c>
      <c r="L68">
        <v>6889</v>
      </c>
      <c r="M68">
        <v>4478.7039999999997</v>
      </c>
      <c r="N68">
        <v>3.79</v>
      </c>
      <c r="O68">
        <v>4.4000000000000004</v>
      </c>
      <c r="P68">
        <v>39.44</v>
      </c>
      <c r="Q68">
        <v>3.22</v>
      </c>
      <c r="R68">
        <v>137.71</v>
      </c>
      <c r="S68">
        <v>106.44</v>
      </c>
      <c r="T68">
        <v>3</v>
      </c>
      <c r="U68">
        <v>689151</v>
      </c>
      <c r="V68">
        <v>689487</v>
      </c>
      <c r="W68">
        <f t="shared" si="2"/>
        <v>336</v>
      </c>
      <c r="X68" t="s">
        <v>128</v>
      </c>
      <c r="Y68" t="s">
        <v>129</v>
      </c>
      <c r="Z68" s="1">
        <v>46217</v>
      </c>
      <c r="AA68" t="s">
        <v>37</v>
      </c>
      <c r="AB68" s="1">
        <v>46217</v>
      </c>
      <c r="AC68" t="s">
        <v>89</v>
      </c>
    </row>
    <row r="69" spans="1:29" x14ac:dyDescent="0.35">
      <c r="A69" t="s">
        <v>130</v>
      </c>
      <c r="B69" s="1">
        <v>46216</v>
      </c>
      <c r="C69" t="s">
        <v>30</v>
      </c>
      <c r="D69" t="s">
        <v>31</v>
      </c>
      <c r="E69" t="s">
        <v>126</v>
      </c>
      <c r="F69" t="s">
        <v>79</v>
      </c>
      <c r="G69" t="s">
        <v>41</v>
      </c>
      <c r="H69" s="2">
        <v>0.42083333333333334</v>
      </c>
      <c r="I69">
        <v>21.667999999999999</v>
      </c>
      <c r="J69">
        <v>78.7</v>
      </c>
      <c r="K69">
        <v>6.82</v>
      </c>
      <c r="L69">
        <v>4667</v>
      </c>
      <c r="M69">
        <v>3012.268</v>
      </c>
      <c r="N69">
        <v>2.46</v>
      </c>
      <c r="O69">
        <v>4.82</v>
      </c>
      <c r="P69">
        <v>57.8</v>
      </c>
      <c r="Q69">
        <v>0.77</v>
      </c>
      <c r="R69">
        <v>83.74</v>
      </c>
      <c r="S69">
        <v>87.44</v>
      </c>
      <c r="T69">
        <v>3</v>
      </c>
      <c r="U69">
        <v>688485</v>
      </c>
      <c r="V69">
        <v>688845</v>
      </c>
      <c r="W69">
        <f t="shared" si="2"/>
        <v>360</v>
      </c>
      <c r="X69" t="s">
        <v>131</v>
      </c>
      <c r="Y69" t="s">
        <v>132</v>
      </c>
      <c r="Z69" s="1">
        <v>46217</v>
      </c>
      <c r="AA69" t="s">
        <v>37</v>
      </c>
      <c r="AB69" s="1">
        <v>46217</v>
      </c>
      <c r="AC69" t="s">
        <v>89</v>
      </c>
    </row>
    <row r="70" spans="1:29" x14ac:dyDescent="0.35">
      <c r="B70" s="1">
        <v>46216</v>
      </c>
      <c r="C70" t="s">
        <v>30</v>
      </c>
      <c r="D70" t="s">
        <v>31</v>
      </c>
      <c r="E70" t="s">
        <v>126</v>
      </c>
      <c r="F70" t="s">
        <v>79</v>
      </c>
      <c r="G70" t="s">
        <v>43</v>
      </c>
      <c r="H70" s="2">
        <v>0.42499999999999999</v>
      </c>
      <c r="I70">
        <v>21.733000000000001</v>
      </c>
      <c r="J70">
        <v>71.5</v>
      </c>
      <c r="K70">
        <v>6.2</v>
      </c>
      <c r="L70">
        <v>2680</v>
      </c>
      <c r="M70">
        <v>1715.068</v>
      </c>
      <c r="N70">
        <v>1.36</v>
      </c>
      <c r="O70">
        <v>5.52</v>
      </c>
      <c r="P70">
        <v>34.61</v>
      </c>
      <c r="Q70">
        <v>-1.61</v>
      </c>
      <c r="R70">
        <v>20.71</v>
      </c>
      <c r="S70">
        <v>78.84</v>
      </c>
      <c r="T70">
        <v>2</v>
      </c>
      <c r="U70">
        <v>688857</v>
      </c>
      <c r="V70">
        <v>689132</v>
      </c>
      <c r="W70">
        <f t="shared" si="2"/>
        <v>275</v>
      </c>
      <c r="X70" t="s">
        <v>133</v>
      </c>
      <c r="Z70" s="1">
        <v>46217</v>
      </c>
      <c r="AA70" t="s">
        <v>37</v>
      </c>
      <c r="AB70" s="1">
        <v>46217</v>
      </c>
      <c r="AC70" t="s">
        <v>89</v>
      </c>
    </row>
    <row r="71" spans="1:29" x14ac:dyDescent="0.35">
      <c r="B71" s="1">
        <v>46216</v>
      </c>
      <c r="C71" t="s">
        <v>30</v>
      </c>
      <c r="D71" t="s">
        <v>31</v>
      </c>
      <c r="E71" t="s">
        <v>126</v>
      </c>
      <c r="F71" t="s">
        <v>79</v>
      </c>
      <c r="G71" t="s">
        <v>45</v>
      </c>
      <c r="H71" s="2">
        <v>0.44305555555555554</v>
      </c>
      <c r="I71">
        <v>21.855</v>
      </c>
      <c r="J71">
        <v>71</v>
      </c>
      <c r="K71">
        <v>6.17</v>
      </c>
      <c r="L71">
        <v>2209</v>
      </c>
      <c r="M71">
        <v>1435.809</v>
      </c>
      <c r="N71">
        <v>1.1299999999999999</v>
      </c>
      <c r="O71">
        <v>6.44</v>
      </c>
      <c r="P71">
        <v>29.66</v>
      </c>
      <c r="Q71">
        <v>-2.06</v>
      </c>
      <c r="R71">
        <v>5.54</v>
      </c>
      <c r="S71">
        <v>78.319999999999993</v>
      </c>
      <c r="T71">
        <v>1</v>
      </c>
      <c r="U71">
        <v>689524</v>
      </c>
      <c r="V71">
        <v>689871</v>
      </c>
      <c r="W71">
        <f t="shared" si="2"/>
        <v>347</v>
      </c>
      <c r="X71" t="s">
        <v>134</v>
      </c>
      <c r="Z71" s="1">
        <v>46217</v>
      </c>
      <c r="AA71" t="s">
        <v>37</v>
      </c>
      <c r="AB71" s="1">
        <v>46217</v>
      </c>
      <c r="AC71" t="s">
        <v>89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0ED2518C801F4387E8B7E26163B56F" ma:contentTypeVersion="13" ma:contentTypeDescription="Create a new document." ma:contentTypeScope="" ma:versionID="b5e4b80ab3e2270d2eee259ba86d575a">
  <xsd:schema xmlns:xsd="http://www.w3.org/2001/XMLSchema" xmlns:xs="http://www.w3.org/2001/XMLSchema" xmlns:p="http://schemas.microsoft.com/office/2006/metadata/properties" xmlns:ns2="a018d381-40f8-4db5-aeb3-deabf8202486" xmlns:ns3="d24aaa57-d398-405c-b3fa-c8cc28dcaab4" targetNamespace="http://schemas.microsoft.com/office/2006/metadata/properties" ma:root="true" ma:fieldsID="6e4c33af8a41af25ab439e4857c9771e" ns2:_="" ns3:_="">
    <xsd:import namespace="a018d381-40f8-4db5-aeb3-deabf8202486"/>
    <xsd:import namespace="d24aaa57-d398-405c-b3fa-c8cc28dcaa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18d381-40f8-4db5-aeb3-deabf8202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51b62a4-9796-44f9-b2a5-9cb121c108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4aaa57-d398-405c-b3fa-c8cc28dcaab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daed74f-3700-43ce-bee1-07caf4a066b3}" ma:internalName="TaxCatchAll" ma:showField="CatchAllData" ma:web="d24aaa57-d398-405c-b3fa-c8cc28dcaa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4aaa57-d398-405c-b3fa-c8cc28dcaab4" xsi:nil="true"/>
    <lcf76f155ced4ddcb4097134ff3c332f xmlns="a018d381-40f8-4db5-aeb3-deabf82024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AEF315-C35F-48E7-8D64-0484115273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18d381-40f8-4db5-aeb3-deabf8202486"/>
    <ds:schemaRef ds:uri="d24aaa57-d398-405c-b3fa-c8cc28dcaa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46AADE-A50B-470F-B041-C0A1D1CEAF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08D8C0-DF26-4730-B69D-F5B138F4EAEE}">
  <ds:schemaRefs>
    <ds:schemaRef ds:uri="http://schemas.microsoft.com/office/2006/metadata/properties"/>
    <ds:schemaRef ds:uri="http://schemas.microsoft.com/office/infopath/2007/PartnerControls"/>
    <ds:schemaRef ds:uri="d24aaa57-d398-405c-b3fa-c8cc28dcaab4"/>
    <ds:schemaRef ds:uri="a018d381-40f8-4db5-aeb3-deabf8202486"/>
  </ds:schemaRefs>
</ds:datastoreItem>
</file>

<file path=docMetadata/LabelInfo.xml><?xml version="1.0" encoding="utf-8"?>
<clbl:labelList xmlns:clbl="http://schemas.microsoft.com/office/2020/mipLabelMetadata">
  <clbl:label id="{cf90b97b-be46-4a00-9700-81ce4ff1b7f6}" enabled="0" method="" siteId="{cf90b97b-be46-4a00-9700-81ce4ff1b7f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WQ Data</vt:lpstr>
    </vt:vector>
  </TitlesOfParts>
  <Manager/>
  <Company>ICF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Corning, Teague</dc:creator>
  <cp:keywords/>
  <dc:description/>
  <cp:lastModifiedBy>Holmes, Eric@DWR</cp:lastModifiedBy>
  <cp:revision/>
  <dcterms:created xsi:type="dcterms:W3CDTF">2026-05-12T18:20:12Z</dcterms:created>
  <dcterms:modified xsi:type="dcterms:W3CDTF">2026-07-23T15:50:16Z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0x010100580ED2518C801F4387E8B7E26163B56F</vt:lpwstr>
  </property>
  <property fmtid="{D5CDD505-2E9C-101B-9397-08002B2CF9AE}" pid="3" name="MediaServiceImageTags">
    <vt:lpwstr/>
  </property>
</Properties>
</file>